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.안내" sheetId="1" state="visible" r:id="rId3"/>
    <sheet name="01.대시보드" sheetId="2" state="visible" r:id="rId4"/>
    <sheet name="02.기준금리·통화" sheetId="3" state="visible" r:id="rId5"/>
    <sheet name="03.물가" sheetId="4" state="visible" r:id="rId6"/>
    <sheet name="04.경기·성장" sheetId="5" state="visible" r:id="rId7"/>
    <sheet name="05.고용" sheetId="6" state="visible" r:id="rId8"/>
    <sheet name="06.국제수지·교역" sheetId="7" state="visible" r:id="rId9"/>
    <sheet name="07.금융·외환시장" sheetId="8" state="visible" r:id="rId10"/>
    <sheet name="08.가계·기업신용" sheetId="9" state="visible" r:id="rId11"/>
    <sheet name="09.부동산·금융안정" sheetId="10" state="visible" r:id="rId12"/>
    <sheet name="10.세계경제" sheetId="11" state="visible" r:id="rId13"/>
    <sheet name="11.출처·메모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<sst xmlns="http://schemas.openxmlformats.org/spreadsheetml/2006/main" count="825" uniqueCount="399">
  <si>
    <r>
      <rPr>
        <b val="true"/>
        <sz val="16"/>
        <color rgb="FF1F3864"/>
        <rFont val="맑은 고딕"/>
        <family val="0"/>
        <charset val="1"/>
      </rPr>
      <t xml:space="preserve">2026</t>
    </r>
    <r>
      <rPr>
        <b val="true"/>
        <sz val="16"/>
        <color rgb="FF1F3864"/>
        <rFont val="Noto Sans CJK SC"/>
        <family val="2"/>
        <charset val="1"/>
      </rPr>
      <t xml:space="preserve">년 제</t>
    </r>
    <r>
      <rPr>
        <b val="true"/>
        <sz val="16"/>
        <color rgb="FF1F3864"/>
        <rFont val="맑은 고딕"/>
        <family val="0"/>
        <charset val="1"/>
      </rPr>
      <t xml:space="preserve">23</t>
    </r>
    <r>
      <rPr>
        <b val="true"/>
        <sz val="16"/>
        <color rgb="FF1F3864"/>
        <rFont val="Noto Sans CJK SC"/>
        <family val="2"/>
        <charset val="1"/>
      </rPr>
      <t xml:space="preserve">회 통화정책 경시대회 — 데이터 수집</t>
    </r>
    <r>
      <rPr>
        <b val="true"/>
        <sz val="16"/>
        <color rgb="FF1F3864"/>
        <rFont val="맑은 고딕"/>
        <family val="0"/>
        <charset val="1"/>
      </rPr>
      <t xml:space="preserve">·</t>
    </r>
    <r>
      <rPr>
        <b val="true"/>
        <sz val="16"/>
        <color rgb="FF1F3864"/>
        <rFont val="Noto Sans CJK SC"/>
        <family val="2"/>
        <charset val="1"/>
      </rPr>
      <t xml:space="preserve">관리 워크북</t>
    </r>
  </si>
  <si>
    <t xml:space="preserve">팀명: 통신보안(通信保安)  |  발표일: 2026.7.8  |  결정대상: 2026.7월 기준금리</t>
  </si>
  <si>
    <t xml:space="preserve">■ 워크북 구성</t>
  </si>
  <si>
    <t xml:space="preserve">시트</t>
  </si>
  <si>
    <t xml:space="preserve">내용</t>
  </si>
  <si>
    <r>
      <rPr>
        <sz val="9"/>
        <rFont val="맑은 고딕"/>
        <family val="0"/>
        <charset val="1"/>
      </rPr>
      <t xml:space="preserve">01.</t>
    </r>
    <r>
      <rPr>
        <sz val="9"/>
        <rFont val="Noto Sans CJK SC"/>
        <family val="2"/>
        <charset val="1"/>
      </rPr>
      <t xml:space="preserve">대시보드</t>
    </r>
  </si>
  <si>
    <t xml:space="preserve">핵심 지표 요약 + 시각화용 시계열 (발표자료 차트 소스)</t>
  </si>
  <si>
    <r>
      <rPr>
        <sz val="9"/>
        <rFont val="맑은 고딕"/>
        <family val="0"/>
        <charset val="1"/>
      </rPr>
      <t xml:space="preserve">02.</t>
    </r>
    <r>
      <rPr>
        <sz val="9"/>
        <rFont val="Noto Sans CJK SC"/>
        <family val="2"/>
        <charset val="1"/>
      </rPr>
      <t xml:space="preserve">기준금리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통화</t>
    </r>
  </si>
  <si>
    <t xml:space="preserve">기준금리 추이·미국 정책금리·내외금리차·통화량(M1·M2 등)</t>
  </si>
  <si>
    <r>
      <rPr>
        <sz val="9"/>
        <rFont val="맑은 고딕"/>
        <family val="0"/>
        <charset val="1"/>
      </rPr>
      <t xml:space="preserve">03.</t>
    </r>
    <r>
      <rPr>
        <sz val="9"/>
        <rFont val="Noto Sans CJK SC"/>
        <family val="2"/>
        <charset val="1"/>
      </rPr>
      <t xml:space="preserve">물가</t>
    </r>
  </si>
  <si>
    <t xml:space="preserve">소비자·생활·근원·생산자물가·기대인플레(전문가/일반인/BEI)·품목별</t>
  </si>
  <si>
    <r>
      <rPr>
        <sz val="9"/>
        <rFont val="맑은 고딕"/>
        <family val="0"/>
        <charset val="1"/>
      </rPr>
      <t xml:space="preserve">04.</t>
    </r>
    <r>
      <rPr>
        <sz val="9"/>
        <rFont val="Noto Sans CJK SC"/>
        <family val="2"/>
        <charset val="1"/>
      </rPr>
      <t xml:space="preserve">경기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성장</t>
    </r>
  </si>
  <si>
    <r>
      <rPr>
        <sz val="9"/>
        <rFont val="맑은 고딕"/>
        <family val="0"/>
        <charset val="1"/>
      </rPr>
      <t xml:space="preserve">GDP·</t>
    </r>
    <r>
      <rPr>
        <sz val="9"/>
        <rFont val="Noto Sans CJK SC"/>
        <family val="2"/>
        <charset val="1"/>
      </rPr>
      <t xml:space="preserve">제조업생산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소매판매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서비스업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설비투자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건설기성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심리지수</t>
    </r>
  </si>
  <si>
    <r>
      <rPr>
        <sz val="9"/>
        <rFont val="맑은 고딕"/>
        <family val="0"/>
        <charset val="1"/>
      </rPr>
      <t xml:space="preserve">05.</t>
    </r>
    <r>
      <rPr>
        <sz val="9"/>
        <rFont val="Noto Sans CJK SC"/>
        <family val="2"/>
        <charset val="1"/>
      </rPr>
      <t xml:space="preserve">고용</t>
    </r>
  </si>
  <si>
    <t xml:space="preserve">취업자수·고용률·실업률·청년고용·산업별·명목임금·IT특별급여</t>
  </si>
  <si>
    <r>
      <rPr>
        <sz val="9"/>
        <rFont val="맑은 고딕"/>
        <family val="0"/>
        <charset val="1"/>
      </rPr>
      <t xml:space="preserve">06.</t>
    </r>
    <r>
      <rPr>
        <sz val="9"/>
        <rFont val="Noto Sans CJK SC"/>
        <family val="2"/>
        <charset val="1"/>
      </rPr>
      <t xml:space="preserve">국제수지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교역</t>
    </r>
  </si>
  <si>
    <t xml:space="preserve">수출·수입·경상수지·품목별수출(반도체 등)·SCFI</t>
  </si>
  <si>
    <r>
      <rPr>
        <sz val="9"/>
        <rFont val="맑은 고딕"/>
        <family val="0"/>
        <charset val="1"/>
      </rPr>
      <t xml:space="preserve">07.</t>
    </r>
    <r>
      <rPr>
        <sz val="9"/>
        <rFont val="Noto Sans CJK SC"/>
        <family val="2"/>
        <charset val="1"/>
      </rPr>
      <t xml:space="preserve">금융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외환시장</t>
    </r>
  </si>
  <si>
    <t xml:space="preserve">국고채·회사채·CD·CP·코스피·코스닥·외국인순매수·외인보유·환율·스프레드</t>
  </si>
  <si>
    <r>
      <rPr>
        <sz val="9"/>
        <rFont val="맑은 고딕"/>
        <family val="0"/>
        <charset val="1"/>
      </rPr>
      <t xml:space="preserve">08.</t>
    </r>
    <r>
      <rPr>
        <sz val="9"/>
        <rFont val="Noto Sans CJK SC"/>
        <family val="2"/>
        <charset val="1"/>
      </rPr>
      <t xml:space="preserve">가계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기업신용</t>
    </r>
  </si>
  <si>
    <t xml:space="preserve">가계신용·주담대·기업대출·회사채순발행·연체율</t>
  </si>
  <si>
    <r>
      <rPr>
        <sz val="9"/>
        <rFont val="맑은 고딕"/>
        <family val="0"/>
        <charset val="1"/>
      </rPr>
      <t xml:space="preserve">09.</t>
    </r>
    <r>
      <rPr>
        <sz val="9"/>
        <rFont val="Noto Sans CJK SC"/>
        <family val="2"/>
        <charset val="1"/>
      </rPr>
      <t xml:space="preserve">부동산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금융안정</t>
    </r>
  </si>
  <si>
    <t xml:space="preserve">주택매매·전세·FSI·FVI·부동산PF·외환보유액</t>
  </si>
  <si>
    <r>
      <rPr>
        <sz val="9"/>
        <rFont val="맑은 고딕"/>
        <family val="0"/>
        <charset val="1"/>
      </rPr>
      <t xml:space="preserve">10.</t>
    </r>
    <r>
      <rPr>
        <sz val="9"/>
        <rFont val="Noto Sans CJK SC"/>
        <family val="2"/>
        <charset val="1"/>
      </rPr>
      <t xml:space="preserve">세계경제</t>
    </r>
  </si>
  <si>
    <t xml:space="preserve">美·유로·일본·중국 경기/정책금리·국제유가(두바이·브렌트·WTI)·원자재</t>
  </si>
  <si>
    <r>
      <rPr>
        <sz val="9"/>
        <rFont val="맑은 고딕"/>
        <family val="0"/>
        <charset val="1"/>
      </rPr>
      <t xml:space="preserve">11.</t>
    </r>
    <r>
      <rPr>
        <sz val="9"/>
        <rFont val="Noto Sans CJK SC"/>
        <family val="2"/>
        <charset val="1"/>
      </rPr>
      <t xml:space="preserve">출처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메모</t>
    </r>
  </si>
  <si>
    <t xml:space="preserve">데이터 출처 정리 및 작업 메모(To-do)</t>
  </si>
  <si>
    <t xml:space="preserve">■ 색상 규칙</t>
  </si>
  <si>
    <t xml:space="preserve">파란 글씨</t>
  </si>
  <si>
    <t xml:space="preserve">직접 입력하는 원자료(하드코딩 수치)</t>
  </si>
  <si>
    <t xml:space="preserve">검정 글씨</t>
  </si>
  <si>
    <t xml:space="preserve">수식·계산값(내외금리차 등 자동계산)</t>
  </si>
  <si>
    <t xml:space="preserve">노란 배경</t>
  </si>
  <si>
    <t xml:space="preserve">미입력 셀 — 자료 입수 시 채울 것</t>
  </si>
  <si>
    <t xml:space="preserve">[ ]주기표기</t>
  </si>
  <si>
    <t xml:space="preserve">비고란 머리에 공표주기 표기: [월]/[분기]/[일]/[주]/[FOMC·금통위] + 공표시기(시차)</t>
  </si>
  <si>
    <t xml:space="preserve">■ 데이터 입력 팁</t>
  </si>
  <si>
    <t xml:space="preserve">1</t>
  </si>
  <si>
    <t xml:space="preserve">데이터 기간: 2025-01 ~ 2026-07 (월별) / 2025-1Q ~ 2026-2Q (분기) — 전년동월·전년동기 비교 가능</t>
  </si>
  <si>
    <t xml:space="preserve">2</t>
  </si>
  <si>
    <t xml:space="preserve">날짜는 연-월(2026-05) / 연-분기(2026-2Q)로 통일 → 차트 X축 정렬 용이</t>
  </si>
  <si>
    <t xml:space="preserve">3</t>
  </si>
  <si>
    <t xml:space="preserve">비고란 [주기]·공표시기로 자료 입수 가능시점 파악 → 7.8 발표 전 확보 가능 데이터 식별</t>
  </si>
  <si>
    <t xml:space="preserve">4</t>
  </si>
  <si>
    <t xml:space="preserve">‘잠정/속보/확정’ 구분을 비고란에 반드시 표기</t>
  </si>
  <si>
    <t xml:space="preserve">5</t>
  </si>
  <si>
    <t xml:space="preserve">모든 수치에 출처·시점 기재(한국은행 인용 양식 준수)</t>
  </si>
  <si>
    <t xml:space="preserve">6</t>
  </si>
  <si>
    <t xml:space="preserve">대시보드(01)는 각 시트를 참조 → 원자료만 갱신하면 자동 반영</t>
  </si>
  <si>
    <r>
      <rPr>
        <b val="true"/>
        <sz val="15"/>
        <color rgb="FF1F3864"/>
        <rFont val="맑은 고딕"/>
        <family val="0"/>
        <charset val="1"/>
      </rPr>
      <t xml:space="preserve">01. </t>
    </r>
    <r>
      <rPr>
        <b val="true"/>
        <sz val="15"/>
        <color rgb="FF1F3864"/>
        <rFont val="Noto Sans CJK SC"/>
        <family val="2"/>
        <charset val="1"/>
      </rPr>
      <t xml:space="preserve">핵심 지표 대시보드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발표자료 시각화 소스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</si>
  <si>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각 시트 원자료를 참조 — 원자료만 갱신하면 자동 반영.</t>
  </si>
  <si>
    <r>
      <rPr>
        <b val="true"/>
        <sz val="11"/>
        <color rgb="FF2E5496"/>
        <rFont val="맑은 고딕"/>
        <family val="0"/>
        <charset val="1"/>
      </rPr>
      <t xml:space="preserve">[A] </t>
    </r>
    <r>
      <rPr>
        <b val="true"/>
        <sz val="11"/>
        <color rgb="FF2E5496"/>
        <rFont val="Noto Sans CJK SC"/>
        <family val="2"/>
        <charset val="1"/>
      </rPr>
      <t xml:space="preserve">기준금리 결정 요약</t>
    </r>
  </si>
  <si>
    <t xml:space="preserve">항목</t>
  </si>
  <si>
    <t xml:space="preserve">현 기준금리</t>
  </si>
  <si>
    <t xml:space="preserve">제안 기준금리</t>
  </si>
  <si>
    <t xml:space="preserve">2.75%</t>
  </si>
  <si>
    <t xml:space="preserve">변경폭</t>
  </si>
  <si>
    <r>
      <rPr>
        <sz val="9"/>
        <color rgb="FF000000"/>
        <rFont val="맑은 고딕"/>
        <family val="0"/>
        <charset val="1"/>
      </rPr>
      <t xml:space="preserve">+25bp (</t>
    </r>
    <r>
      <rPr>
        <sz val="9"/>
        <color rgb="FF000000"/>
        <rFont val="Noto Sans CJK SC"/>
        <family val="2"/>
        <charset val="1"/>
      </rPr>
      <t xml:space="preserve">인상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</si>
  <si>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결정 회의</t>
  </si>
  <si>
    <r>
      <rPr>
        <sz val="9"/>
        <color rgb="FF000000"/>
        <rFont val="맑은 고딕"/>
        <family val="0"/>
        <charset val="1"/>
      </rPr>
      <t xml:space="preserve">2026.7.16 </t>
    </r>
    <r>
      <rPr>
        <sz val="9"/>
        <color rgb="FF000000"/>
        <rFont val="Noto Sans CJK SC"/>
        <family val="2"/>
        <charset val="1"/>
      </rPr>
      <t xml:space="preserve">금통위</t>
    </r>
  </si>
  <si>
    <t xml:space="preserve">핵심 논거</t>
  </si>
  <si>
    <t xml:space="preserve">물가·성장·환율·금융안정 4개 부문 인상 신호 / 고용은 속도조절</t>
  </si>
  <si>
    <r>
      <rPr>
        <b val="true"/>
        <sz val="11"/>
        <color rgb="FF2E5496"/>
        <rFont val="맑은 고딕"/>
        <family val="0"/>
        <charset val="1"/>
      </rPr>
      <t xml:space="preserve">[B] </t>
    </r>
    <r>
      <rPr>
        <b val="true"/>
        <sz val="11"/>
        <color rgb="FF2E5496"/>
        <rFont val="Noto Sans CJK SC"/>
        <family val="2"/>
        <charset val="1"/>
      </rPr>
      <t xml:space="preserve">시각화용 시계열 </t>
    </r>
    <r>
      <rPr>
        <b val="true"/>
        <sz val="11"/>
        <color rgb="FF2E5496"/>
        <rFont val="맑은 고딕"/>
        <family val="0"/>
        <charset val="1"/>
      </rPr>
      <t xml:space="preserve">(</t>
    </r>
    <r>
      <rPr>
        <b val="true"/>
        <sz val="11"/>
        <color rgb="FF2E5496"/>
        <rFont val="Noto Sans CJK SC"/>
        <family val="2"/>
        <charset val="1"/>
      </rPr>
      <t xml:space="preserve">이 표를 범위로 지정해 차트 삽입</t>
    </r>
    <r>
      <rPr>
        <b val="true"/>
        <sz val="11"/>
        <color rgb="FF2E5496"/>
        <rFont val="맑은 고딕"/>
        <family val="0"/>
        <charset val="1"/>
      </rPr>
      <t xml:space="preserve">)</t>
    </r>
  </si>
  <si>
    <t xml:space="preserve">시점</t>
  </si>
  <si>
    <t xml:space="preserve">소비자물가(%)</t>
  </si>
  <si>
    <t xml:space="preserve">근원물가(%)</t>
  </si>
  <si>
    <t xml:space="preserve">기대인플레(%)</t>
  </si>
  <si>
    <t xml:space="preserve">기준금리(%)</t>
  </si>
  <si>
    <t xml:space="preserve">CCSI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</si>
  <si>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</si>
  <si>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</si>
  <si>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</si>
  <si>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</si>
  <si>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</si>
  <si>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</si>
  <si>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</si>
  <si>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</si>
  <si>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</si>
  <si>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</si>
  <si>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</si>
  <si>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</si>
  <si>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</si>
  <si>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</si>
  <si>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</si>
  <si>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</si>
  <si>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</si>
  <si>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</si>
  <si>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</si>
  <si>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※ 표 선택 후 [삽입]&gt;[차트]로 추세선 생성. 원자료 갱신 시 자동 업데이트.</t>
  </si>
  <si>
    <r>
      <rPr>
        <b val="true"/>
        <sz val="15"/>
        <color rgb="FF1F3864"/>
        <rFont val="맑은 고딕"/>
        <family val="0"/>
        <charset val="1"/>
      </rPr>
      <t xml:space="preserve">02. </t>
    </r>
    <r>
      <rPr>
        <b val="true"/>
        <sz val="15"/>
        <color rgb="FF1F3864"/>
        <rFont val="Noto Sans CJK SC"/>
        <family val="2"/>
        <charset val="1"/>
      </rPr>
      <t xml:space="preserve">기준금리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  <charset val="1"/>
      </rPr>
      <t xml:space="preserve">통화량</t>
    </r>
  </si>
  <si>
    <t xml:space="preserve">기준금리 경로 및 통화지표 (월별)</t>
  </si>
  <si>
    <t xml:space="preserve">지표</t>
  </si>
  <si>
    <t xml:space="preserve">단위</t>
  </si>
  <si>
    <t xml:space="preserve">출처</t>
  </si>
  <si>
    <t xml:space="preserve">공표주기·시기 / 비고</t>
  </si>
  <si>
    <t xml:space="preserve">한국은행 기준금리</t>
  </si>
  <si>
    <t xml:space="preserve">%</t>
  </si>
  <si>
    <t xml:space="preserve">한국은행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</si>
  <si>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금통위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금통위 당일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연</t>
    </r>
    <r>
      <rPr>
        <sz val="9"/>
        <color rgb="FF0000FF"/>
        <rFont val="맑은 고딕"/>
        <family val="0"/>
        <charset val="1"/>
      </rPr>
      <t xml:space="preserve">8</t>
    </r>
    <r>
      <rPr>
        <sz val="9"/>
        <color rgb="FF0000FF"/>
        <rFont val="Noto Sans CJK SC"/>
        <family val="2"/>
        <charset val="1"/>
      </rPr>
      <t xml:space="preserve">회</t>
    </r>
    <r>
      <rPr>
        <sz val="9"/>
        <color rgb="FF0000FF"/>
        <rFont val="맑은 고딕"/>
        <family val="0"/>
        <charset val="1"/>
      </rPr>
      <t xml:space="preserve">)</t>
    </r>
  </si>
  <si>
    <t xml:space="preserve">미국 연준 정책금리(상단)</t>
  </si>
  <si>
    <t xml:space="preserve">FRB</t>
  </si>
  <si>
    <r>
      <rPr>
        <sz val="9"/>
        <color rgb="FF0000FF"/>
        <rFont val="맑은 고딕"/>
        <family val="0"/>
        <charset val="1"/>
      </rPr>
      <t xml:space="preserve">[FOMC] </t>
    </r>
    <r>
      <rPr>
        <sz val="9"/>
        <color rgb="FF0000FF"/>
        <rFont val="Noto Sans CJK SC"/>
        <family val="2"/>
        <charset val="1"/>
      </rPr>
      <t xml:space="preserve">회의 익일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연</t>
    </r>
    <r>
      <rPr>
        <sz val="9"/>
        <color rgb="FF0000FF"/>
        <rFont val="맑은 고딕"/>
        <family val="0"/>
        <charset val="1"/>
      </rPr>
      <t xml:space="preserve">8</t>
    </r>
    <r>
      <rPr>
        <sz val="9"/>
        <color rgb="FF0000FF"/>
        <rFont val="Noto Sans CJK SC"/>
        <family val="2"/>
        <charset val="1"/>
      </rPr>
      <t xml:space="preserve">회</t>
    </r>
    <r>
      <rPr>
        <sz val="9"/>
        <color rgb="FF0000FF"/>
        <rFont val="맑은 고딕"/>
        <family val="0"/>
        <charset val="1"/>
      </rPr>
      <t xml:space="preserve">)</t>
    </r>
  </si>
  <si>
    <t xml:space="preserve">내외 금리차(한-미)</t>
  </si>
  <si>
    <t xml:space="preserve">%p</t>
  </si>
  <si>
    <t xml:space="preserve">계산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</si>
  <si>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자동계산</t>
    </r>
    <r>
      <rPr>
        <sz val="9"/>
        <color rgb="FF0000FF"/>
        <rFont val="맑은 고딕"/>
        <family val="0"/>
        <charset val="1"/>
      </rPr>
      <t xml:space="preserve">]</t>
    </r>
  </si>
  <si>
    <t xml:space="preserve">콜금리(익일물)</t>
  </si>
  <si>
    <t xml:space="preserve">자금중개회사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</si>
  <si>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익영업일</t>
    </r>
  </si>
  <si>
    <t xml:space="preserve">본원통화</t>
  </si>
  <si>
    <t xml:space="preserve">조원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</si>
  <si>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중순</t>
    </r>
  </si>
  <si>
    <r>
      <rPr>
        <b val="true"/>
        <sz val="9"/>
        <rFont val="맑은 고딕"/>
        <family val="0"/>
        <charset val="1"/>
      </rPr>
      <t xml:space="preserve">M1(</t>
    </r>
    <r>
      <rPr>
        <b val="true"/>
        <sz val="9"/>
        <rFont val="Noto Sans CJK SC"/>
        <family val="2"/>
        <charset val="1"/>
      </rPr>
      <t xml:space="preserve">협의통화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</si>
  <si>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중순</t>
    </r>
    <r>
      <rPr>
        <sz val="9"/>
        <color rgb="FF0000FF"/>
        <rFont val="맑은 고딕"/>
        <family val="0"/>
        <charset val="1"/>
      </rPr>
      <t xml:space="preserve">(2</t>
    </r>
    <r>
      <rPr>
        <sz val="9"/>
        <color rgb="FF0000FF"/>
        <rFont val="Noto Sans CJK SC"/>
        <family val="2"/>
        <charset val="1"/>
      </rPr>
      <t xml:space="preserve">개월 시차</t>
    </r>
    <r>
      <rPr>
        <sz val="9"/>
        <color rgb="FF0000FF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</si>
  <si>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M2(</t>
    </r>
    <r>
      <rPr>
        <b val="true"/>
        <sz val="9"/>
        <rFont val="Noto Sans CJK SC"/>
        <family val="2"/>
        <charset val="1"/>
      </rPr>
      <t xml:space="preserve">광의통화</t>
    </r>
    <r>
      <rPr>
        <b val="true"/>
        <sz val="9"/>
        <rFont val="맑은 고딕"/>
        <family val="0"/>
        <charset val="1"/>
      </rPr>
      <t xml:space="preserve">)</t>
    </r>
  </si>
  <si>
    <t xml:space="preserve">M2증가율(전년동월비)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</si>
  <si>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중순 </t>
    </r>
    <r>
      <rPr>
        <sz val="9"/>
        <color rgb="FF0000FF"/>
        <rFont val="맑은 고딕"/>
        <family val="0"/>
        <charset val="1"/>
      </rPr>
      <t xml:space="preserve">· </t>
    </r>
    <r>
      <rPr>
        <sz val="9"/>
        <color rgb="FF0000FF"/>
        <rFont val="Noto Sans CJK SC"/>
        <family val="2"/>
        <charset val="1"/>
      </rPr>
      <t xml:space="preserve">의사록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  <charset val="1"/>
      </rPr>
      <t xml:space="preserve">상승했으나 장기평균 하회</t>
    </r>
  </si>
  <si>
    <r>
      <rPr>
        <b val="true"/>
        <sz val="9"/>
        <rFont val="맑은 고딕"/>
        <family val="0"/>
        <charset val="1"/>
      </rPr>
      <t xml:space="preserve">Lf(</t>
    </r>
    <r>
      <rPr>
        <b val="true"/>
        <sz val="9"/>
        <rFont val="Noto Sans CJK SC"/>
        <family val="2"/>
        <charset val="1"/>
      </rPr>
      <t xml:space="preserve">금융기관유동성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</si>
  <si>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"/>
        <color rgb="FFC00000"/>
        <rFont val="맑은 고딕"/>
        <family val="0"/>
        <charset val="1"/>
      </rPr>
      <t xml:space="preserve">※ 2026.7</t>
    </r>
    <r>
      <rPr>
        <sz val="8"/>
        <color rgb="FFC00000"/>
        <rFont val="Noto Sans CJK SC"/>
        <family val="2"/>
        <charset val="1"/>
      </rPr>
      <t xml:space="preserve">월 기준금리는 </t>
    </r>
    <r>
      <rPr>
        <sz val="8"/>
        <color rgb="FFC00000"/>
        <rFont val="맑은 고딕"/>
        <family val="0"/>
        <charset val="1"/>
      </rPr>
      <t xml:space="preserve">7.16 </t>
    </r>
    <r>
      <rPr>
        <sz val="8"/>
        <color rgb="FFC00000"/>
        <rFont val="Noto Sans CJK SC"/>
        <family val="2"/>
        <charset val="1"/>
      </rPr>
      <t xml:space="preserve">금통위 결정 대상</t>
    </r>
    <r>
      <rPr>
        <sz val="8"/>
        <color rgb="FFC00000"/>
        <rFont val="맑은 고딕"/>
        <family val="0"/>
        <charset val="1"/>
      </rPr>
      <t xml:space="preserve">(</t>
    </r>
    <r>
      <rPr>
        <sz val="8"/>
        <color rgb="FFC00000"/>
        <rFont val="Noto Sans CJK SC"/>
        <family val="2"/>
        <charset val="1"/>
      </rPr>
      <t xml:space="preserve">본 팀 제안</t>
    </r>
    <r>
      <rPr>
        <sz val="8"/>
        <color rgb="FFC00000"/>
        <rFont val="맑은 고딕"/>
        <family val="0"/>
        <charset val="1"/>
      </rPr>
      <t xml:space="preserve">: 2.75%)</t>
    </r>
  </si>
  <si>
    <r>
      <rPr>
        <b val="true"/>
        <sz val="15"/>
        <color rgb="FF1F3864"/>
        <rFont val="맑은 고딕"/>
        <family val="0"/>
        <charset val="1"/>
      </rPr>
      <t xml:space="preserve">03. </t>
    </r>
    <r>
      <rPr>
        <b val="true"/>
        <sz val="15"/>
        <color rgb="FF1F3864"/>
        <rFont val="Noto Sans CJK SC"/>
        <family val="2"/>
        <charset val="1"/>
      </rPr>
      <t xml:space="preserve">물가</t>
    </r>
  </si>
  <si>
    <t xml:space="preserve">소비자·근원·생산자물가 및 기대인플레이션 (월별)</t>
  </si>
  <si>
    <t xml:space="preserve">소비자물가(전년동월비)</t>
  </si>
  <si>
    <t xml:space="preserve">국가데이터처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</si>
  <si>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초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통상 </t>
    </r>
    <r>
      <rPr>
        <sz val="9"/>
        <color rgb="FF0000FF"/>
        <rFont val="맑은 고딕"/>
        <family val="0"/>
        <charset val="1"/>
      </rPr>
      <t xml:space="preserve">2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</si>
  <si>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생활물가(전년동월비)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</si>
  <si>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초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통상 </t>
    </r>
    <r>
      <rPr>
        <sz val="9"/>
        <color rgb="FF0000FF"/>
        <rFont val="맑은 고딕"/>
        <family val="0"/>
        <charset val="1"/>
      </rPr>
      <t xml:space="preserve">2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) · </t>
    </r>
    <r>
      <rPr>
        <sz val="9"/>
        <color rgb="FF0000FF"/>
        <rFont val="Noto Sans CJK SC"/>
        <family val="2"/>
        <charset val="1"/>
      </rPr>
      <t xml:space="preserve">구입빈도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지출비중 높은 품목 </t>
    </r>
    <r>
      <rPr>
        <sz val="9"/>
        <color rgb="FF0000FF"/>
        <rFont val="맑은 고딕"/>
        <family val="0"/>
        <charset val="1"/>
      </rPr>
      <t xml:space="preserve">/ </t>
    </r>
    <r>
      <rPr>
        <sz val="9"/>
        <color rgb="FF0000FF"/>
        <rFont val="Noto Sans CJK SC"/>
        <family val="2"/>
        <charset val="1"/>
      </rPr>
      <t xml:space="preserve">취약계층 체감물가</t>
    </r>
  </si>
  <si>
    <t xml:space="preserve">근원물가(식료품·에너지제외)</t>
  </si>
  <si>
    <t xml:space="preserve">생산자물가(전년동월비)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</si>
  <si>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하순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약 </t>
    </r>
    <r>
      <rPr>
        <sz val="9"/>
        <color rgb="FF0000FF"/>
        <rFont val="맑은 고딕"/>
        <family val="0"/>
        <charset val="1"/>
      </rPr>
      <t xml:space="preserve">3</t>
    </r>
    <r>
      <rPr>
        <sz val="9"/>
        <color rgb="FF0000FF"/>
        <rFont val="Noto Sans CJK SC"/>
        <family val="2"/>
        <charset val="1"/>
      </rPr>
      <t xml:space="preserve">주 시차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</si>
  <si>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기대인플레이션(1년)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</si>
  <si>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당월 하순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소비자동향조사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</si>
  <si>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기대인플레이션-전문가(1년,BOK)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</si>
  <si>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1Q</t>
    </r>
    <r>
      <rPr>
        <sz val="9"/>
        <color rgb="FF0000FF"/>
        <rFont val="Noto Sans CJK SC"/>
        <family val="2"/>
        <charset val="1"/>
      </rPr>
      <t xml:space="preserve">분기조사</t>
    </r>
    <r>
      <rPr>
        <sz val="9"/>
        <color rgb="FF0000FF"/>
        <rFont val="맑은 고딕"/>
        <family val="0"/>
        <charset val="1"/>
      </rPr>
      <t xml:space="preserve">·4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~</t>
    </r>
    <r>
      <rPr>
        <sz val="9"/>
        <color rgb="FF0000FF"/>
        <rFont val="Noto Sans CJK SC"/>
        <family val="2"/>
        <charset val="1"/>
      </rPr>
      <t xml:space="preserve">월별 </t>
    </r>
    <r>
      <rPr>
        <sz val="9"/>
        <color rgb="FF0000FF"/>
        <rFont val="맑은 고딕"/>
        <family val="0"/>
        <charset val="1"/>
      </rPr>
      <t xml:space="preserve">· </t>
    </r>
    <r>
      <rPr>
        <sz val="9"/>
        <color rgb="FF0000FF"/>
        <rFont val="Noto Sans CJK SC"/>
        <family val="2"/>
        <charset val="1"/>
      </rPr>
      <t xml:space="preserve">분기조사</t>
    </r>
    <r>
      <rPr>
        <sz val="9"/>
        <color rgb="FF0000FF"/>
        <rFont val="맑은 고딕"/>
        <family val="0"/>
        <charset val="1"/>
      </rPr>
      <t xml:space="preserve">(1Q),</t>
    </r>
    <r>
      <rPr>
        <sz val="9"/>
        <color rgb="FF0000FF"/>
        <rFont val="Noto Sans CJK SC"/>
        <family val="2"/>
        <charset val="1"/>
      </rPr>
      <t xml:space="preserve">월별</t>
    </r>
    <r>
      <rPr>
        <sz val="9"/>
        <color rgb="FF0000FF"/>
        <rFont val="맑은 고딕"/>
        <family val="0"/>
        <charset val="1"/>
      </rPr>
      <t xml:space="preserve">(4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~)</t>
    </r>
  </si>
  <si>
    <t xml:space="preserve">기대인플레이션-일반인(3년)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</si>
  <si>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당월 하순</t>
    </r>
  </si>
  <si>
    <t xml:space="preserve">BEI(10년물,기대인플레)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</si>
  <si>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익영업일 </t>
    </r>
    <r>
      <rPr>
        <sz val="9"/>
        <color rgb="FF0000FF"/>
        <rFont val="맑은 고딕"/>
        <family val="0"/>
        <charset val="1"/>
      </rPr>
      <t xml:space="preserve">· </t>
    </r>
    <r>
      <rPr>
        <sz val="9"/>
        <color rgb="FF0000FF"/>
        <rFont val="Noto Sans CJK SC"/>
        <family val="2"/>
        <charset val="1"/>
      </rPr>
      <t xml:space="preserve">국고채</t>
    </r>
    <r>
      <rPr>
        <sz val="9"/>
        <color rgb="FF0000FF"/>
        <rFont val="맑은 고딕"/>
        <family val="0"/>
        <charset val="1"/>
      </rPr>
      <t xml:space="preserve">-</t>
    </r>
    <r>
      <rPr>
        <sz val="9"/>
        <color rgb="FF0000FF"/>
        <rFont val="Noto Sans CJK SC"/>
        <family val="2"/>
        <charset val="1"/>
      </rPr>
      <t xml:space="preserve">물가채 수익률차</t>
    </r>
  </si>
  <si>
    <t xml:space="preserve">석유류(전년동월비)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</si>
  <si>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초</t>
    </r>
    <r>
      <rPr>
        <sz val="9"/>
        <color rgb="FF0000FF"/>
        <rFont val="맑은 고딕"/>
        <family val="0"/>
        <charset val="1"/>
      </rPr>
      <t xml:space="preserve">(CPI </t>
    </r>
    <r>
      <rPr>
        <sz val="9"/>
        <color rgb="FF0000FF"/>
        <rFont val="Noto Sans CJK SC"/>
        <family val="2"/>
        <charset val="1"/>
      </rPr>
      <t xml:space="preserve">동시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</si>
  <si>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공업제품(석유류제외,전년동월비)</t>
  </si>
  <si>
    <t xml:space="preserve">농축수산물(전년동월비)</t>
  </si>
  <si>
    <t xml:space="preserve">가공식품(전년동월비)</t>
  </si>
  <si>
    <t xml:space="preserve">개인서비스(전년동월비)</t>
  </si>
  <si>
    <t xml:space="preserve">공공요금(전년동월비)</t>
  </si>
  <si>
    <t xml:space="preserve">물가안정목표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</si>
  <si>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고정</t>
    </r>
    <r>
      <rPr>
        <sz val="9"/>
        <color rgb="FF0000FF"/>
        <rFont val="맑은 고딕"/>
        <family val="0"/>
        <charset val="1"/>
      </rPr>
      <t xml:space="preserve">] 2%(2019~)</t>
    </r>
  </si>
  <si>
    <r>
      <rPr>
        <b val="true"/>
        <sz val="15"/>
        <color rgb="FF1F3864"/>
        <rFont val="맑은 고딕"/>
        <family val="0"/>
        <charset val="1"/>
      </rPr>
      <t xml:space="preserve">04. </t>
    </r>
    <r>
      <rPr>
        <b val="true"/>
        <sz val="15"/>
        <color rgb="FF1F3864"/>
        <rFont val="Noto Sans CJK SC"/>
        <family val="2"/>
        <charset val="1"/>
      </rPr>
      <t xml:space="preserve">경기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  <charset val="1"/>
      </rPr>
      <t xml:space="preserve">성장</t>
    </r>
  </si>
  <si>
    <r>
      <rPr>
        <sz val="9"/>
        <color rgb="FF595959"/>
        <rFont val="맑은 고딕"/>
        <family val="0"/>
        <charset val="1"/>
      </rPr>
      <t xml:space="preserve">GDP </t>
    </r>
    <r>
      <rPr>
        <sz val="9"/>
        <color rgb="FF595959"/>
        <rFont val="Noto Sans CJK SC"/>
        <family val="2"/>
        <charset val="1"/>
      </rPr>
      <t xml:space="preserve">및 생산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  <charset val="1"/>
      </rPr>
      <t xml:space="preserve">투자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  <charset val="1"/>
      </rPr>
      <t xml:space="preserve">심리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  <charset val="1"/>
      </rPr>
      <t xml:space="preserve">분기지표는 해당분기 말월에 기입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</si>
  <si>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실질 GDP(전기대비)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</si>
  <si>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속보 익월말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잠정 익익월초 </t>
    </r>
    <r>
      <rPr>
        <sz val="9"/>
        <color rgb="FF0000FF"/>
        <rFont val="맑은 고딕"/>
        <family val="0"/>
        <charset val="1"/>
      </rPr>
      <t xml:space="preserve">· 1Q </t>
    </r>
    <r>
      <rPr>
        <sz val="9"/>
        <color rgb="FF0000FF"/>
        <rFont val="Noto Sans CJK SC"/>
        <family val="2"/>
        <charset val="1"/>
      </rPr>
      <t xml:space="preserve">잠정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속보 </t>
    </r>
    <r>
      <rPr>
        <sz val="9"/>
        <color rgb="FF0000FF"/>
        <rFont val="맑은 고딕"/>
        <family val="0"/>
        <charset val="1"/>
      </rPr>
      <t xml:space="preserve">1.7→1.8)</t>
    </r>
  </si>
  <si>
    <t xml:space="preserve">실질 GDP(전년동기대비)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</si>
  <si>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속보 익월말</t>
    </r>
  </si>
  <si>
    <t xml:space="preserve">실질 GNI(전기대비)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</si>
  <si>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잠정 익익월초</t>
    </r>
  </si>
  <si>
    <t xml:space="preserve">제조업생산지수(전년동월비)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</si>
  <si>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익월말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산업활동동향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</si>
  <si>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소매판매액지수(전년동월비)</t>
  </si>
  <si>
    <t xml:space="preserve">서비스업생산지수(전년동월비)</t>
  </si>
  <si>
    <t xml:space="preserve">설비투자지수(전년동월비)</t>
  </si>
  <si>
    <t xml:space="preserve">건설기성액(전년동월비)</t>
  </si>
  <si>
    <t xml:space="preserve">제조업평균가동률</t>
  </si>
  <si>
    <t xml:space="preserve">소비자심리지수(CCSI)</t>
  </si>
  <si>
    <t xml:space="preserve">p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</si>
  <si>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당월 하순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약 </t>
    </r>
    <r>
      <rPr>
        <sz val="9"/>
        <color rgb="FF0000FF"/>
        <rFont val="맑은 고딕"/>
        <family val="0"/>
        <charset val="1"/>
      </rPr>
      <t xml:space="preserve">27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</si>
  <si>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금리수준전망CSI</t>
  </si>
  <si>
    <t xml:space="preserve">주택가격전망CSI(수도권)</t>
  </si>
  <si>
    <t xml:space="preserve">기업경기실사지수(BSI)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</si>
  <si>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당월 하순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기업경기조사</t>
    </r>
    <r>
      <rPr>
        <sz val="9"/>
        <color rgb="FF0000FF"/>
        <rFont val="맑은 고딕"/>
        <family val="0"/>
        <charset val="1"/>
      </rPr>
      <t xml:space="preserve">)</t>
    </r>
  </si>
  <si>
    <r>
      <rPr>
        <b val="true"/>
        <sz val="15"/>
        <color rgb="FF1F3864"/>
        <rFont val="맑은 고딕"/>
        <family val="0"/>
        <charset val="1"/>
      </rPr>
      <t xml:space="preserve">05. </t>
    </r>
    <r>
      <rPr>
        <b val="true"/>
        <sz val="15"/>
        <color rgb="FF1F3864"/>
        <rFont val="Noto Sans CJK SC"/>
        <family val="2"/>
        <charset val="1"/>
      </rPr>
      <t xml:space="preserve">고용</t>
    </r>
  </si>
  <si>
    <t xml:space="preserve">취업자·고용률·실업률 및 청년·산업별 (월별)</t>
  </si>
  <si>
    <t xml:space="preserve">취업자수(전년동월비)</t>
  </si>
  <si>
    <t xml:space="preserve">만명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</si>
  <si>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중순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통상 </t>
    </r>
    <r>
      <rPr>
        <sz val="9"/>
        <color rgb="FF0000FF"/>
        <rFont val="맑은 고딕"/>
        <family val="0"/>
        <charset val="1"/>
      </rPr>
      <t xml:space="preserve">2</t>
    </r>
    <r>
      <rPr>
        <sz val="9"/>
        <color rgb="FF0000FF"/>
        <rFont val="Noto Sans CJK SC"/>
        <family val="2"/>
        <charset val="1"/>
      </rPr>
      <t xml:space="preserve">주차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</si>
  <si>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고용률(15세이상)</t>
  </si>
  <si>
    <t xml:space="preserve">실업률</t>
  </si>
  <si>
    <t xml:space="preserve">청년층(15~29)취업자(전년동월비)</t>
  </si>
  <si>
    <t xml:space="preserve">청년 고용률</t>
  </si>
  <si>
    <t xml:space="preserve">청년 실업률</t>
  </si>
  <si>
    <t xml:space="preserve">제조업 취업자(전년동월비)</t>
  </si>
  <si>
    <t xml:space="preserve">건설업 취업자(전년동월비)</t>
  </si>
  <si>
    <t xml:space="preserve">제조업 명목임금(전년동월비)</t>
  </si>
  <si>
    <t xml:space="preserve">고용노동부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</si>
  <si>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하순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사업체노동력조사</t>
    </r>
    <r>
      <rPr>
        <sz val="9"/>
        <color rgb="FF0000FF"/>
        <rFont val="맑은 고딕"/>
        <family val="0"/>
        <charset val="1"/>
      </rPr>
      <t xml:space="preserve">)</t>
    </r>
  </si>
  <si>
    <t xml:space="preserve">명목임금(전체,전년동기비)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</si>
  <si>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하순 </t>
    </r>
    <r>
      <rPr>
        <sz val="9"/>
        <color rgb="FF0000FF"/>
        <rFont val="맑은 고딕"/>
        <family val="0"/>
        <charset val="1"/>
      </rPr>
      <t xml:space="preserve">· </t>
    </r>
    <r>
      <rPr>
        <sz val="9"/>
        <color rgb="FF0000FF"/>
        <rFont val="Noto Sans CJK SC"/>
        <family val="2"/>
        <charset val="1"/>
      </rPr>
      <t xml:space="preserve">분기 </t>
    </r>
    <r>
      <rPr>
        <sz val="9"/>
        <color rgb="FF0000FF"/>
        <rFont val="맑은 고딕"/>
        <family val="0"/>
        <charset val="1"/>
      </rPr>
      <t xml:space="preserve">/ 26.1Q +3.4%</t>
    </r>
  </si>
  <si>
    <t xml:space="preserve">IT부문 특별급여(전년동기비)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</si>
  <si>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하순 </t>
    </r>
    <r>
      <rPr>
        <sz val="9"/>
        <color rgb="FF0000FF"/>
        <rFont val="맑은 고딕"/>
        <family val="0"/>
        <charset val="1"/>
      </rPr>
      <t xml:space="preserve">· 26.1Q </t>
    </r>
    <r>
      <rPr>
        <sz val="9"/>
        <color rgb="FF0000FF"/>
        <rFont val="Noto Sans CJK SC"/>
        <family val="2"/>
        <charset val="1"/>
      </rPr>
      <t xml:space="preserve">이례적 급등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분포 </t>
    </r>
    <r>
      <rPr>
        <sz val="9"/>
        <color rgb="FF0000FF"/>
        <rFont val="맑은 고딕"/>
        <family val="0"/>
        <charset val="1"/>
      </rPr>
      <t xml:space="preserve">97%</t>
    </r>
    <r>
      <rPr>
        <sz val="9"/>
        <color rgb="FF0000FF"/>
        <rFont val="Noto Sans CJK SC"/>
        <family val="2"/>
        <charset val="1"/>
      </rPr>
      <t xml:space="preserve">분위</t>
    </r>
    <r>
      <rPr>
        <sz val="9"/>
        <color rgb="FF0000FF"/>
        <rFont val="맑은 고딕"/>
        <family val="0"/>
        <charset val="1"/>
      </rPr>
      <t xml:space="preserve">)</t>
    </r>
  </si>
  <si>
    <t xml:space="preserve">IT외 임금(전년동기비)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</si>
  <si>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하순 </t>
    </r>
    <r>
      <rPr>
        <sz val="9"/>
        <color rgb="FF0000FF"/>
        <rFont val="맑은 고딕"/>
        <family val="0"/>
        <charset val="1"/>
      </rPr>
      <t xml:space="preserve">· 26.1Q +2.1%</t>
    </r>
  </si>
  <si>
    <r>
      <rPr>
        <b val="true"/>
        <sz val="15"/>
        <color rgb="FF1F3864"/>
        <rFont val="맑은 고딕"/>
        <family val="0"/>
        <charset val="1"/>
      </rPr>
      <t xml:space="preserve">06. </t>
    </r>
    <r>
      <rPr>
        <b val="true"/>
        <sz val="15"/>
        <color rgb="FF1F3864"/>
        <rFont val="Noto Sans CJK SC"/>
        <family val="2"/>
        <charset val="1"/>
      </rPr>
      <t xml:space="preserve">국제수지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  <charset val="1"/>
      </rPr>
      <t xml:space="preserve">교역</t>
    </r>
  </si>
  <si>
    <t xml:space="preserve">수출입·경상수지·품목별수출·해상운임 (월별)</t>
  </si>
  <si>
    <t xml:space="preserve">수출(전년동월비)</t>
  </si>
  <si>
    <t xml:space="preserve">관세청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</si>
  <si>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</t>
    </r>
    <r>
      <rPr>
        <sz val="9"/>
        <color rgb="FF0000FF"/>
        <rFont val="맑은 고딕"/>
        <family val="0"/>
        <charset val="1"/>
      </rPr>
      <t xml:space="preserve">1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관세청 속보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</si>
  <si>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수입(전년동월비)</t>
  </si>
  <si>
    <t xml:space="preserve">경상수지</t>
  </si>
  <si>
    <t xml:space="preserve">억달러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</si>
  <si>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초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약 </t>
    </r>
    <r>
      <rPr>
        <sz val="9"/>
        <color rgb="FF0000FF"/>
        <rFont val="맑은 고딕"/>
        <family val="0"/>
        <charset val="1"/>
      </rPr>
      <t xml:space="preserve">5</t>
    </r>
    <r>
      <rPr>
        <sz val="9"/>
        <color rgb="FF0000FF"/>
        <rFont val="Noto Sans CJK SC"/>
        <family val="2"/>
        <charset val="1"/>
      </rPr>
      <t xml:space="preserve">주 시차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</si>
  <si>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상품수지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</si>
  <si>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 초</t>
    </r>
  </si>
  <si>
    <t xml:space="preserve">서비스수지</t>
  </si>
  <si>
    <t xml:space="preserve">반도체 수출(전년동월비)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</si>
  <si>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</t>
    </r>
    <r>
      <rPr>
        <sz val="9"/>
        <color rgb="FF0000FF"/>
        <rFont val="맑은 고딕"/>
        <family val="0"/>
        <charset val="1"/>
      </rPr>
      <t xml:space="preserve">1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/15</t>
    </r>
    <r>
      <rPr>
        <sz val="9"/>
        <color rgb="FF0000FF"/>
        <rFont val="Noto Sans CJK SC"/>
        <family val="2"/>
        <charset val="1"/>
      </rPr>
      <t xml:space="preserve">일</t>
    </r>
  </si>
  <si>
    <t xml:space="preserve">자동차 수출(전년동월비)</t>
  </si>
  <si>
    <t xml:space="preserve">선박 수출(전년동월비)</t>
  </si>
  <si>
    <t xml:space="preserve">대미 수출(전년동월비)</t>
  </si>
  <si>
    <t xml:space="preserve">상하이컨테이너운임지수(SCFI)</t>
  </si>
  <si>
    <t xml:space="preserve">SSE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</si>
  <si>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주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매주 금요일</t>
    </r>
  </si>
  <si>
    <r>
      <rPr>
        <b val="true"/>
        <sz val="15"/>
        <color rgb="FF1F3864"/>
        <rFont val="맑은 고딕"/>
        <family val="0"/>
        <charset val="1"/>
      </rPr>
      <t xml:space="preserve">07. </t>
    </r>
    <r>
      <rPr>
        <b val="true"/>
        <sz val="15"/>
        <color rgb="FF1F3864"/>
        <rFont val="Noto Sans CJK SC"/>
        <family val="2"/>
        <charset val="1"/>
      </rPr>
      <t xml:space="preserve">금융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  <charset val="1"/>
      </rPr>
      <t xml:space="preserve">외환시장</t>
    </r>
  </si>
  <si>
    <t xml:space="preserve">채권·주식·환율 (월별)</t>
  </si>
  <si>
    <t xml:space="preserve">국고채(3년)</t>
  </si>
  <si>
    <t xml:space="preserve">금융투자협회</t>
  </si>
  <si>
    <t xml:space="preserve">국고채(10년)</t>
  </si>
  <si>
    <t xml:space="preserve">장단기금리차(10년-3년)</t>
  </si>
  <si>
    <t xml:space="preserve">국고3년-기준금리 스프레드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</si>
  <si>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자동계산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교차참조</t>
    </r>
    <r>
      <rPr>
        <sz val="9"/>
        <color rgb="FF0000FF"/>
        <rFont val="맑은 고딕"/>
        <family val="0"/>
        <charset val="1"/>
      </rPr>
      <t xml:space="preserve">] · </t>
    </r>
    <r>
      <rPr>
        <sz val="9"/>
        <color rgb="FF0000FF"/>
        <rFont val="Noto Sans CJK SC"/>
        <family val="2"/>
        <charset val="1"/>
      </rPr>
      <t xml:space="preserve">의사록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  <charset val="1"/>
      </rPr>
      <t xml:space="preserve">정책기조 전환 선반영</t>
    </r>
  </si>
  <si>
    <t xml:space="preserve">회사채(3년,AA-)</t>
  </si>
  <si>
    <t xml:space="preserve">회사채 스프레드(AA--국고3년)</t>
  </si>
  <si>
    <r>
      <rPr>
        <b val="true"/>
        <sz val="9"/>
        <rFont val="맑은 고딕"/>
        <family val="0"/>
        <charset val="1"/>
      </rPr>
      <t xml:space="preserve">CD(91</t>
    </r>
    <r>
      <rPr>
        <b val="true"/>
        <sz val="9"/>
        <rFont val="Noto Sans CJK SC"/>
        <family val="2"/>
        <charset val="1"/>
      </rPr>
      <t xml:space="preserve">일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</si>
  <si>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CP(91</t>
    </r>
    <r>
      <rPr>
        <b val="true"/>
        <sz val="9"/>
        <rFont val="Noto Sans CJK SC"/>
        <family val="2"/>
        <charset val="1"/>
      </rPr>
      <t xml:space="preserve">일</t>
    </r>
    <r>
      <rPr>
        <b val="true"/>
        <sz val="9"/>
        <rFont val="맑은 고딕"/>
        <family val="0"/>
        <charset val="1"/>
      </rPr>
      <t xml:space="preserve">)</t>
    </r>
  </si>
  <si>
    <t xml:space="preserve">코스피</t>
  </si>
  <si>
    <t xml:space="preserve">한국거래소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</si>
  <si>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당일 마감</t>
    </r>
  </si>
  <si>
    <t xml:space="preserve">코스닥</t>
  </si>
  <si>
    <t xml:space="preserve">외국인 주식순매수</t>
  </si>
  <si>
    <t xml:space="preserve">금융감독원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</si>
  <si>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당일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월합계</t>
    </r>
  </si>
  <si>
    <t xml:space="preserve">외국인 채권순투자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</si>
  <si>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초</t>
    </r>
  </si>
  <si>
    <t xml:space="preserve">외국인 국내주식 보유규모</t>
  </si>
  <si>
    <r>
      <rPr>
        <sz val="9"/>
        <color rgb="FF0000FF"/>
        <rFont val="Noto Sans CJK SC"/>
        <family val="2"/>
        <charset val="1"/>
      </rPr>
      <t xml:space="preserve">한국은행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금융감독원</t>
    </r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</si>
  <si>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초 </t>
    </r>
    <r>
      <rPr>
        <sz val="9"/>
        <color rgb="FF0000FF"/>
        <rFont val="맑은 고딕"/>
        <family val="0"/>
        <charset val="1"/>
      </rPr>
      <t xml:space="preserve">· </t>
    </r>
    <r>
      <rPr>
        <sz val="9"/>
        <color rgb="FF0000FF"/>
        <rFont val="Noto Sans CJK SC"/>
        <family val="2"/>
        <charset val="1"/>
      </rPr>
      <t xml:space="preserve">의사록</t>
    </r>
    <r>
      <rPr>
        <sz val="9"/>
        <color rgb="FF0000FF"/>
        <rFont val="맑은 고딕"/>
        <family val="0"/>
        <charset val="1"/>
      </rPr>
      <t xml:space="preserve">: 26.5</t>
    </r>
    <r>
      <rPr>
        <sz val="9"/>
        <color rgb="FF0000FF"/>
        <rFont val="Noto Sans CJK SC"/>
        <family val="2"/>
        <charset val="1"/>
      </rPr>
      <t xml:space="preserve">월 약 </t>
    </r>
    <r>
      <rPr>
        <sz val="9"/>
        <color rgb="FF0000FF"/>
        <rFont val="맑은 고딕"/>
        <family val="0"/>
        <charset val="1"/>
      </rPr>
      <t xml:space="preserve">720</t>
    </r>
    <r>
      <rPr>
        <sz val="9"/>
        <color rgb="FF0000FF"/>
        <rFont val="Noto Sans CJK SC"/>
        <family val="2"/>
        <charset val="1"/>
      </rPr>
      <t xml:space="preserve">조원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외환보유액 상회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</si>
  <si>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원/달러 환율(기말)</t>
  </si>
  <si>
    <t xml:space="preserve">원</t>
  </si>
  <si>
    <t xml:space="preserve">원/엔 환율(100엔)</t>
  </si>
  <si>
    <t xml:space="preserve">원/위안 환율</t>
  </si>
  <si>
    <r>
      <rPr>
        <b val="true"/>
        <sz val="15"/>
        <color rgb="FF1F3864"/>
        <rFont val="맑은 고딕"/>
        <family val="0"/>
        <charset val="1"/>
      </rPr>
      <t xml:space="preserve">08. </t>
    </r>
    <r>
      <rPr>
        <b val="true"/>
        <sz val="15"/>
        <color rgb="FF1F3864"/>
        <rFont val="Noto Sans CJK SC"/>
        <family val="2"/>
        <charset val="1"/>
      </rPr>
      <t xml:space="preserve">가계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  <charset val="1"/>
      </rPr>
      <t xml:space="preserve">기업신용</t>
    </r>
  </si>
  <si>
    <t xml:space="preserve">가계부채·주담대·기업대출·연체율 (분기)</t>
  </si>
  <si>
    <t xml:space="preserve">2025-1Q</t>
  </si>
  <si>
    <t xml:space="preserve">2025-2Q</t>
  </si>
  <si>
    <t xml:space="preserve">2025-3Q</t>
  </si>
  <si>
    <t xml:space="preserve">2025-4Q</t>
  </si>
  <si>
    <t xml:space="preserve">2026-1Q</t>
  </si>
  <si>
    <t xml:space="preserve">2026-2Q</t>
  </si>
  <si>
    <t xml:space="preserve">가계신용 잔액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</si>
  <si>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익익월말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약 </t>
    </r>
    <r>
      <rPr>
        <sz val="9"/>
        <color rgb="FF0000FF"/>
        <rFont val="맑은 고딕"/>
        <family val="0"/>
        <charset val="1"/>
      </rPr>
      <t xml:space="preserve">2.5</t>
    </r>
    <r>
      <rPr>
        <sz val="9"/>
        <color rgb="FF0000FF"/>
        <rFont val="Noto Sans CJK SC"/>
        <family val="2"/>
        <charset val="1"/>
      </rPr>
      <t xml:space="preserve">개월 시차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</si>
  <si>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가계신용(전분기대비 증감)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</si>
  <si>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익익월말</t>
    </r>
  </si>
  <si>
    <t xml:space="preserve">명목GDP대비 가계신용 비율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</si>
  <si>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GDP</t>
    </r>
    <r>
      <rPr>
        <sz val="9"/>
        <color rgb="FF0000FF"/>
        <rFont val="Noto Sans CJK SC"/>
        <family val="2"/>
        <charset val="1"/>
      </rPr>
      <t xml:space="preserve">확정 후</t>
    </r>
  </si>
  <si>
    <t xml:space="preserve">주택담보대출 잔액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</si>
  <si>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중순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금융시장동향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</si>
  <si>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주담대 월평균 증감</t>
  </si>
  <si>
    <t xml:space="preserve">기업대출 증가율(전년동월비)</t>
  </si>
  <si>
    <t xml:space="preserve">회사채 순발행</t>
  </si>
  <si>
    <t xml:space="preserve">가계대출 연체율(은행)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</si>
  <si>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금감원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</si>
  <si>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가계대출 연체율(비은행)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</si>
  <si>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</t>
    </r>
  </si>
  <si>
    <t xml:space="preserve">기업대출 연체율(중소·자영업)</t>
  </si>
  <si>
    <r>
      <rPr>
        <b val="true"/>
        <sz val="15"/>
        <color rgb="FF1F3864"/>
        <rFont val="맑은 고딕"/>
        <family val="0"/>
        <charset val="1"/>
      </rPr>
      <t xml:space="preserve">09. </t>
    </r>
    <r>
      <rPr>
        <b val="true"/>
        <sz val="15"/>
        <color rgb="FF1F3864"/>
        <rFont val="Noto Sans CJK SC"/>
        <family val="2"/>
        <charset val="1"/>
      </rPr>
      <t xml:space="preserve">부동산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  <charset val="1"/>
      </rPr>
      <t xml:space="preserve">금융안정</t>
    </r>
  </si>
  <si>
    <t xml:space="preserve">주택가격·FSI·FVI·외환보유액·PF (월/분기)</t>
  </si>
  <si>
    <t xml:space="preserve">전국 주택매매가격(전월비)</t>
  </si>
  <si>
    <t xml:space="preserve">한국부동산원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</si>
  <si>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중순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부동산원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</si>
  <si>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서울 아파트매매가격(전월비)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</si>
  <si>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주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매주 목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월간</t>
    </r>
  </si>
  <si>
    <t xml:space="preserve">수도권 주택매매가격(전월비)</t>
  </si>
  <si>
    <t xml:space="preserve">주택 매매거래량(전국)</t>
  </si>
  <si>
    <t xml:space="preserve">만건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</si>
  <si>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익익월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신고기준 시차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</si>
  <si>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전세가격지수(전월비)</t>
  </si>
  <si>
    <t xml:space="preserve">금융불안지수(FSI)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</si>
  <si>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금융안정보고서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연</t>
    </r>
    <r>
      <rPr>
        <sz val="9"/>
        <color rgb="FF0000FF"/>
        <rFont val="맑은 고딕"/>
        <family val="0"/>
        <charset val="1"/>
      </rPr>
      <t xml:space="preserve">2</t>
    </r>
    <r>
      <rPr>
        <sz val="9"/>
        <color rgb="FF0000FF"/>
        <rFont val="Noto Sans CJK SC"/>
        <family val="2"/>
        <charset val="1"/>
      </rPr>
      <t xml:space="preserve">회 </t>
    </r>
    <r>
      <rPr>
        <sz val="9"/>
        <color rgb="FF0000FF"/>
        <rFont val="맑은 고딕"/>
        <family val="0"/>
        <charset val="1"/>
      </rPr>
      <t xml:space="preserve">6·12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)</t>
    </r>
  </si>
  <si>
    <t xml:space="preserve">금융취약성지수(FVI)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</si>
  <si>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금융안정보고서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연</t>
    </r>
    <r>
      <rPr>
        <sz val="9"/>
        <color rgb="FF0000FF"/>
        <rFont val="맑은 고딕"/>
        <family val="0"/>
        <charset val="1"/>
      </rPr>
      <t xml:space="preserve">2</t>
    </r>
    <r>
      <rPr>
        <sz val="9"/>
        <color rgb="FF0000FF"/>
        <rFont val="Noto Sans CJK SC"/>
        <family val="2"/>
        <charset val="1"/>
      </rPr>
      <t xml:space="preserve">회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</si>
  <si>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외환보유액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</si>
  <si>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초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통상 </t>
    </r>
    <r>
      <rPr>
        <sz val="9"/>
        <color rgb="FF0000FF"/>
        <rFont val="맑은 고딕"/>
        <family val="0"/>
        <charset val="1"/>
      </rPr>
      <t xml:space="preserve">3~5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)</t>
    </r>
  </si>
  <si>
    <t xml:space="preserve">단기외채/총외채 비율</t>
  </si>
  <si>
    <t xml:space="preserve">부동산PF 익스포저</t>
  </si>
  <si>
    <t xml:space="preserve">금융위원회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</si>
  <si>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금융위 점검시</t>
    </r>
  </si>
  <si>
    <t xml:space="preserve">부동산PF 연체율</t>
  </si>
  <si>
    <r>
      <rPr>
        <b val="true"/>
        <sz val="15"/>
        <color rgb="FF1F3864"/>
        <rFont val="맑은 고딕"/>
        <family val="0"/>
        <charset val="1"/>
      </rPr>
      <t xml:space="preserve">10. </t>
    </r>
    <r>
      <rPr>
        <b val="true"/>
        <sz val="15"/>
        <color rgb="FF1F3864"/>
        <rFont val="Noto Sans CJK SC"/>
        <family val="2"/>
        <charset val="1"/>
      </rPr>
      <t xml:space="preserve">세계경제</t>
    </r>
  </si>
  <si>
    <t xml:space="preserve">주요국 경기·정책금리·국제유가·원자재 (월별)</t>
  </si>
  <si>
    <t xml:space="preserve">세계 성장률 전망(IMF)</t>
  </si>
  <si>
    <t xml:space="preserve">IMF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</si>
  <si>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WEO(1·4·7·10</t>
    </r>
    <r>
      <rPr>
        <sz val="9"/>
        <color rgb="FF0000FF"/>
        <rFont val="Noto Sans CJK SC"/>
        <family val="2"/>
        <charset val="1"/>
      </rPr>
      <t xml:space="preserve">월</t>
    </r>
    <r>
      <rPr>
        <sz val="9"/>
        <color rgb="FF0000FF"/>
        <rFont val="맑은 고딕"/>
        <family val="0"/>
        <charset val="1"/>
      </rPr>
      <t xml:space="preserve">)</t>
    </r>
  </si>
  <si>
    <t xml:space="preserve">미국 성장률(전기연율)</t>
  </si>
  <si>
    <t xml:space="preserve">미 상무부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</si>
  <si>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속보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잠정</t>
    </r>
    <r>
      <rPr>
        <sz val="9"/>
        <color rgb="FF0000FF"/>
        <rFont val="맑은 고딕"/>
        <family val="0"/>
        <charset val="1"/>
      </rPr>
      <t xml:space="preserve">·</t>
    </r>
    <r>
      <rPr>
        <sz val="9"/>
        <color rgb="FF0000FF"/>
        <rFont val="Noto Sans CJK SC"/>
        <family val="2"/>
        <charset val="1"/>
      </rPr>
      <t xml:space="preserve">확정 </t>
    </r>
    <r>
      <rPr>
        <sz val="9"/>
        <color rgb="FF0000FF"/>
        <rFont val="맑은 고딕"/>
        <family val="0"/>
        <charset val="1"/>
      </rPr>
      <t xml:space="preserve">3</t>
    </r>
    <r>
      <rPr>
        <sz val="9"/>
        <color rgb="FF0000FF"/>
        <rFont val="Noto Sans CJK SC"/>
        <family val="2"/>
        <charset val="1"/>
      </rPr>
      <t xml:space="preserve">회</t>
    </r>
  </si>
  <si>
    <t xml:space="preserve">유로존 성장률(전기대비)</t>
  </si>
  <si>
    <t xml:space="preserve">Eurostat</t>
  </si>
  <si>
    <t xml:space="preserve">일본 성장률(전기대비)</t>
  </si>
  <si>
    <t xml:space="preserve">일본 내각부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</si>
  <si>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속보 익익월중순</t>
    </r>
  </si>
  <si>
    <t xml:space="preserve">중국 성장률(전년동기)</t>
  </si>
  <si>
    <t xml:space="preserve">중국 국가통계국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</si>
  <si>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분기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익월 중순</t>
    </r>
  </si>
  <si>
    <t xml:space="preserve">미국 정책금리(상단)</t>
  </si>
  <si>
    <t xml:space="preserve">유로 정책금리</t>
  </si>
  <si>
    <t xml:space="preserve">ECB</t>
  </si>
  <si>
    <r>
      <rPr>
        <sz val="9"/>
        <color rgb="FF0000FF"/>
        <rFont val="맑은 고딕"/>
        <family val="0"/>
        <charset val="1"/>
      </rPr>
      <t xml:space="preserve">[ECB] </t>
    </r>
    <r>
      <rPr>
        <sz val="9"/>
        <color rgb="FF0000FF"/>
        <rFont val="Noto Sans CJK SC"/>
        <family val="2"/>
        <charset val="1"/>
      </rPr>
      <t xml:space="preserve">회의 당일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연</t>
    </r>
    <r>
      <rPr>
        <sz val="9"/>
        <color rgb="FF0000FF"/>
        <rFont val="맑은 고딕"/>
        <family val="0"/>
        <charset val="1"/>
      </rPr>
      <t xml:space="preserve">8</t>
    </r>
    <r>
      <rPr>
        <sz val="9"/>
        <color rgb="FF0000FF"/>
        <rFont val="Noto Sans CJK SC"/>
        <family val="2"/>
        <charset val="1"/>
      </rPr>
      <t xml:space="preserve">회</t>
    </r>
    <r>
      <rPr>
        <sz val="9"/>
        <color rgb="FF0000FF"/>
        <rFont val="맑은 고딕"/>
        <family val="0"/>
        <charset val="1"/>
      </rPr>
      <t xml:space="preserve">)</t>
    </r>
  </si>
  <si>
    <t xml:space="preserve">일본 정책금리</t>
  </si>
  <si>
    <t xml:space="preserve">일본은행</t>
  </si>
  <si>
    <r>
      <rPr>
        <sz val="9"/>
        <color rgb="FF0000FF"/>
        <rFont val="맑은 고딕"/>
        <family val="0"/>
        <charset val="1"/>
      </rPr>
      <t xml:space="preserve">[BOJ] </t>
    </r>
    <r>
      <rPr>
        <sz val="9"/>
        <color rgb="FF0000FF"/>
        <rFont val="Noto Sans CJK SC"/>
        <family val="2"/>
        <charset val="1"/>
      </rPr>
      <t xml:space="preserve">회의 당일</t>
    </r>
    <r>
      <rPr>
        <sz val="9"/>
        <color rgb="FF0000FF"/>
        <rFont val="맑은 고딕"/>
        <family val="0"/>
        <charset val="1"/>
      </rPr>
      <t xml:space="preserve">(</t>
    </r>
    <r>
      <rPr>
        <sz val="9"/>
        <color rgb="FF0000FF"/>
        <rFont val="Noto Sans CJK SC"/>
        <family val="2"/>
        <charset val="1"/>
      </rPr>
      <t xml:space="preserve">연</t>
    </r>
    <r>
      <rPr>
        <sz val="9"/>
        <color rgb="FF0000FF"/>
        <rFont val="맑은 고딕"/>
        <family val="0"/>
        <charset val="1"/>
      </rPr>
      <t xml:space="preserve">8</t>
    </r>
    <r>
      <rPr>
        <sz val="9"/>
        <color rgb="FF0000FF"/>
        <rFont val="Noto Sans CJK SC"/>
        <family val="2"/>
        <charset val="1"/>
      </rPr>
      <t xml:space="preserve">회</t>
    </r>
    <r>
      <rPr>
        <sz val="9"/>
        <color rgb="FF0000FF"/>
        <rFont val="맑은 고딕"/>
        <family val="0"/>
        <charset val="1"/>
      </rPr>
      <t xml:space="preserve">)</t>
    </r>
  </si>
  <si>
    <t xml:space="preserve">미국 근원PCE(전년동월비)</t>
  </si>
  <si>
    <t xml:space="preserve">두바이유(기말)</t>
  </si>
  <si>
    <r>
      <rPr>
        <sz val="9"/>
        <color rgb="FF595959"/>
        <rFont val="맑은 고딕"/>
        <family val="0"/>
        <charset val="1"/>
      </rPr>
      <t xml:space="preserve">$/</t>
    </r>
    <r>
      <rPr>
        <sz val="9"/>
        <color rgb="FF595959"/>
        <rFont val="Noto Sans CJK SC"/>
        <family val="2"/>
        <charset val="1"/>
      </rPr>
      <t xml:space="preserve">배럴</t>
    </r>
  </si>
  <si>
    <t xml:space="preserve">한국석유공사</t>
  </si>
  <si>
    <t xml:space="preserve">브렌트유(기말)</t>
  </si>
  <si>
    <t xml:space="preserve">Bloomberg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</si>
  <si>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익영업일 </t>
    </r>
    <r>
      <rPr>
        <sz val="9"/>
        <color rgb="FF0000FF"/>
        <rFont val="맑은 고딕"/>
        <family val="0"/>
        <charset val="1"/>
      </rPr>
      <t xml:space="preserve">· </t>
    </r>
    <r>
      <rPr>
        <sz val="9"/>
        <color rgb="FF0000FF"/>
        <rFont val="Noto Sans CJK SC"/>
        <family val="2"/>
        <charset val="1"/>
      </rPr>
      <t xml:space="preserve">물가점검보고서 기준유종 </t>
    </r>
    <r>
      <rPr>
        <sz val="9"/>
        <color rgb="FF0000FF"/>
        <rFont val="맑은 고딕"/>
        <family val="0"/>
        <charset val="1"/>
      </rPr>
      <t xml:space="preserve">/ </t>
    </r>
    <r>
      <rPr>
        <sz val="9"/>
        <color rgb="FF0000FF"/>
        <rFont val="Noto Sans CJK SC"/>
        <family val="2"/>
        <charset val="1"/>
      </rPr>
      <t xml:space="preserve">하반기 </t>
    </r>
    <r>
      <rPr>
        <sz val="9"/>
        <color rgb="FF0000FF"/>
        <rFont val="맑은 고딕"/>
        <family val="0"/>
        <charset val="1"/>
      </rPr>
      <t xml:space="preserve">90</t>
    </r>
    <r>
      <rPr>
        <sz val="9"/>
        <color rgb="FF0000FF"/>
        <rFont val="Noto Sans CJK SC"/>
        <family val="2"/>
        <charset val="1"/>
      </rPr>
      <t xml:space="preserve">달러대초반 전망</t>
    </r>
  </si>
  <si>
    <r>
      <rPr>
        <b val="true"/>
        <sz val="9"/>
        <rFont val="맑은 고딕"/>
        <family val="0"/>
        <charset val="1"/>
      </rPr>
      <t xml:space="preserve">WTI(</t>
    </r>
    <r>
      <rPr>
        <b val="true"/>
        <sz val="9"/>
        <rFont val="Noto Sans CJK SC"/>
        <family val="2"/>
        <charset val="1"/>
      </rPr>
      <t xml:space="preserve">기말</t>
    </r>
    <r>
      <rPr>
        <b val="true"/>
        <sz val="9"/>
        <rFont val="맑은 고딕"/>
        <family val="0"/>
        <charset val="1"/>
      </rPr>
      <t xml:space="preserve">)</t>
    </r>
  </si>
  <si>
    <t xml:space="preserve">로이터 상품가격지수(CRB)</t>
  </si>
  <si>
    <t xml:space="preserve">Reuters</t>
  </si>
  <si>
    <r>
      <rPr>
        <sz val="9"/>
        <color rgb="FF0000FF"/>
        <rFont val="맑은 고딕"/>
        <family val="0"/>
        <charset val="1"/>
      </rPr>
      <t xml:space="preserve">[</t>
    </r>
    <r>
      <rPr>
        <sz val="9"/>
        <color rgb="FF0000FF"/>
        <rFont val="Noto Sans CJK SC"/>
        <family val="2"/>
        <charset val="1"/>
      </rPr>
      <t xml:space="preserve">일</t>
    </r>
    <r>
      <rPr>
        <sz val="9"/>
        <color rgb="FF0000FF"/>
        <rFont val="맑은 고딕"/>
        <family val="0"/>
        <charset val="1"/>
      </rPr>
      <t xml:space="preserve">] </t>
    </r>
    <r>
      <rPr>
        <sz val="9"/>
        <color rgb="FF0000FF"/>
        <rFont val="Noto Sans CJK SC"/>
        <family val="2"/>
        <charset val="1"/>
      </rPr>
      <t xml:space="preserve">당일</t>
    </r>
  </si>
  <si>
    <t xml:space="preserve">달러인덱스(DXY)</t>
  </si>
  <si>
    <t xml:space="preserve">ICE</t>
  </si>
  <si>
    <r>
      <rPr>
        <b val="true"/>
        <sz val="15"/>
        <color rgb="FF1F3864"/>
        <rFont val="맑은 고딕"/>
        <family val="0"/>
        <charset val="1"/>
      </rPr>
      <t xml:space="preserve">11. </t>
    </r>
    <r>
      <rPr>
        <b val="true"/>
        <sz val="15"/>
        <color rgb="FF1F3864"/>
        <rFont val="Noto Sans CJK SC"/>
        <family val="2"/>
        <charset val="1"/>
      </rPr>
      <t xml:space="preserve">데이터 출처 및 작업 메모</t>
    </r>
  </si>
  <si>
    <t xml:space="preserve">구분</t>
  </si>
  <si>
    <t xml:space="preserve">기관/간행물</t>
  </si>
  <si>
    <t xml:space="preserve">주요 지표</t>
  </si>
  <si>
    <r>
      <rPr>
        <b val="true"/>
        <sz val="10"/>
        <color rgb="FFFFFFFF"/>
        <rFont val="맑은 고딕"/>
        <family val="0"/>
        <charset val="1"/>
      </rPr>
      <t xml:space="preserve">URL/</t>
    </r>
    <r>
      <rPr>
        <b val="true"/>
        <sz val="10"/>
        <color rgb="FFFFFFFF"/>
        <rFont val="Noto Sans CJK SC"/>
        <family val="2"/>
        <charset val="1"/>
      </rPr>
      <t xml:space="preserve">위치</t>
    </r>
  </si>
  <si>
    <t xml:space="preserve">비고</t>
  </si>
  <si>
    <t xml:space="preserve">통화/금리</t>
  </si>
  <si>
    <t xml:space="preserve">한국은행 경제통계시스템(ECOS)</t>
  </si>
  <si>
    <t xml:space="preserve">기준금리·통화량·국제수지·GDP</t>
  </si>
  <si>
    <t xml:space="preserve">ecos.bok.or.kr</t>
  </si>
  <si>
    <r>
      <rPr>
        <sz val="9"/>
        <rFont val="맑은 고딕"/>
        <family val="0"/>
        <charset val="1"/>
      </rPr>
      <t xml:space="preserve">ECOS: </t>
    </r>
    <r>
      <rPr>
        <sz val="9"/>
        <rFont val="Noto Sans CJK SC"/>
        <family val="2"/>
        <charset val="1"/>
      </rPr>
      <t xml:space="preserve">통화량 약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  <charset val="1"/>
      </rPr>
      <t xml:space="preserve">개월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국제수지 약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  <charset val="1"/>
      </rPr>
      <t xml:space="preserve">주</t>
    </r>
    <r>
      <rPr>
        <sz val="9"/>
        <rFont val="맑은 고딕"/>
        <family val="0"/>
        <charset val="1"/>
      </rPr>
      <t xml:space="preserve">·GDP </t>
    </r>
    <r>
      <rPr>
        <sz val="9"/>
        <rFont val="Noto Sans CJK SC"/>
        <family val="2"/>
        <charset val="1"/>
      </rPr>
      <t xml:space="preserve">분기 시차</t>
    </r>
  </si>
  <si>
    <t xml:space="preserve">통화정책</t>
  </si>
  <si>
    <t xml:space="preserve">한국은행 통화정책방향 결정문·의사록</t>
  </si>
  <si>
    <t xml:space="preserve">금통위 결정·소수의견</t>
  </si>
  <si>
    <t xml:space="preserve">bok.or.kr</t>
  </si>
  <si>
    <t xml:space="preserve">전망</t>
  </si>
  <si>
    <t xml:space="preserve">한국은행 경제전망보고서</t>
  </si>
  <si>
    <t xml:space="preserve">성장·물가 전망·잠재성장률</t>
  </si>
  <si>
    <t xml:space="preserve">연 4회(2/5/8/11월)</t>
  </si>
  <si>
    <t xml:space="preserve">물가/고용</t>
  </si>
  <si>
    <t xml:space="preserve">국가데이터처(KOSIS)</t>
  </si>
  <si>
    <t xml:space="preserve">소비자물가·고용동향</t>
  </si>
  <si>
    <t xml:space="preserve">kosis.kr</t>
  </si>
  <si>
    <r>
      <rPr>
        <sz val="9"/>
        <rFont val="맑은 고딕"/>
        <family val="0"/>
        <charset val="1"/>
      </rPr>
      <t xml:space="preserve">CPI </t>
    </r>
    <r>
      <rPr>
        <sz val="9"/>
        <rFont val="Noto Sans CJK SC"/>
        <family val="2"/>
        <charset val="1"/>
      </rPr>
      <t xml:space="preserve">익월초</t>
    </r>
    <r>
      <rPr>
        <sz val="9"/>
        <rFont val="맑은 고딕"/>
        <family val="0"/>
        <charset val="1"/>
      </rPr>
      <t xml:space="preserve">(2</t>
    </r>
    <r>
      <rPr>
        <sz val="9"/>
        <rFont val="Noto Sans CJK SC"/>
        <family val="2"/>
        <charset val="1"/>
      </rPr>
      <t xml:space="preserve">일</t>
    </r>
    <r>
      <rPr>
        <sz val="9"/>
        <rFont val="맑은 고딕"/>
        <family val="0"/>
        <charset val="1"/>
      </rPr>
      <t xml:space="preserve">)·</t>
    </r>
    <r>
      <rPr>
        <sz val="9"/>
        <rFont val="Noto Sans CJK SC"/>
        <family val="2"/>
        <charset val="1"/>
      </rPr>
      <t xml:space="preserve">고용 익월중순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  <charset val="1"/>
      </rPr>
      <t xml:space="preserve">산업활동 익월말</t>
    </r>
  </si>
  <si>
    <t xml:space="preserve">임금</t>
  </si>
  <si>
    <t xml:space="preserve">고용노동부 사업체노동력조사</t>
  </si>
  <si>
    <t xml:space="preserve">명목임금·특별급여·IT부문</t>
  </si>
  <si>
    <t xml:space="preserve">moel.go.kr</t>
  </si>
  <si>
    <t xml:space="preserve">[월/분기] 익익월 하순</t>
  </si>
  <si>
    <t xml:space="preserve">부동산</t>
  </si>
  <si>
    <t xml:space="preserve">주택매매·전세가격</t>
  </si>
  <si>
    <t xml:space="preserve">reb.or.kr</t>
  </si>
  <si>
    <r>
      <rPr>
        <sz val="9"/>
        <rFont val="Noto Sans CJK SC"/>
        <family val="2"/>
        <charset val="1"/>
      </rPr>
      <t xml:space="preserve">월간 익월중순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  <charset val="1"/>
      </rPr>
      <t xml:space="preserve">주간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매주 목</t>
    </r>
    <r>
      <rPr>
        <sz val="9"/>
        <rFont val="맑은 고딕"/>
        <family val="0"/>
        <charset val="1"/>
      </rPr>
      <t xml:space="preserve">)</t>
    </r>
  </si>
  <si>
    <t xml:space="preserve">금융안정</t>
  </si>
  <si>
    <t xml:space="preserve">한국은행 금융안정보고서</t>
  </si>
  <si>
    <t xml:space="preserve">FSI·FVI·가계신용·부동산PF</t>
  </si>
  <si>
    <t xml:space="preserve">[반기] 6월·12월 발간</t>
  </si>
  <si>
    <t xml:space="preserve">금융시장</t>
  </si>
  <si>
    <t xml:space="preserve">금융투자협회 채권정보</t>
  </si>
  <si>
    <t xml:space="preserve">국고채·회사채·CD·CP</t>
  </si>
  <si>
    <t xml:space="preserve">kofiabond.or.kr</t>
  </si>
  <si>
    <r>
      <rPr>
        <sz val="9"/>
        <rFont val="Noto Sans CJK SC"/>
        <family val="2"/>
        <charset val="1"/>
      </rPr>
      <t xml:space="preserve">채권금리 일별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익영업일</t>
    </r>
    <r>
      <rPr>
        <sz val="9"/>
        <rFont val="맑은 고딕"/>
        <family val="0"/>
        <charset val="1"/>
      </rPr>
      <t xml:space="preserve">)</t>
    </r>
  </si>
  <si>
    <t xml:space="preserve">주가</t>
  </si>
  <si>
    <t xml:space="preserve">한국거래소(KRX)</t>
  </si>
  <si>
    <t xml:space="preserve">코스피·코스닥</t>
  </si>
  <si>
    <t xml:space="preserve">krx.co.kr</t>
  </si>
  <si>
    <t xml:space="preserve">감독/연체</t>
  </si>
  <si>
    <t xml:space="preserve">금융감독원 금융통계시스템</t>
  </si>
  <si>
    <t xml:space="preserve">연체율·외국인순매수</t>
  </si>
  <si>
    <t xml:space="preserve">fss.or.kr</t>
  </si>
  <si>
    <r>
      <rPr>
        <sz val="9"/>
        <rFont val="Noto Sans CJK SC"/>
        <family val="2"/>
        <charset val="1"/>
      </rPr>
      <t xml:space="preserve">연체율 분기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  <charset val="1"/>
      </rPr>
      <t xml:space="preserve">익익월</t>
    </r>
    <r>
      <rPr>
        <sz val="9"/>
        <rFont val="맑은 고딕"/>
        <family val="0"/>
        <charset val="1"/>
      </rPr>
      <t xml:space="preserve">)</t>
    </r>
  </si>
  <si>
    <t xml:space="preserve">재정</t>
  </si>
  <si>
    <t xml:space="preserve">기획재정부</t>
  </si>
  <si>
    <t xml:space="preserve">추경·재정정책</t>
  </si>
  <si>
    <t xml:space="preserve">moef.go.kr</t>
  </si>
  <si>
    <t xml:space="preserve">해외금리</t>
  </si>
  <si>
    <r>
      <rPr>
        <sz val="9"/>
        <rFont val="맑은 고딕"/>
        <family val="0"/>
        <charset val="1"/>
      </rPr>
      <t xml:space="preserve">FRB/ECB/</t>
    </r>
    <r>
      <rPr>
        <sz val="9"/>
        <rFont val="Noto Sans CJK SC"/>
        <family val="2"/>
        <charset val="1"/>
      </rPr>
      <t xml:space="preserve">일본은행</t>
    </r>
  </si>
  <si>
    <t xml:space="preserve">정책금리·점도표</t>
  </si>
  <si>
    <r>
      <rPr>
        <sz val="9"/>
        <rFont val="맑은 고딕"/>
        <family val="0"/>
        <charset val="1"/>
      </rPr>
      <t xml:space="preserve">federalreserve.gov </t>
    </r>
    <r>
      <rPr>
        <sz val="9"/>
        <rFont val="Noto Sans CJK SC"/>
        <family val="2"/>
        <charset val="1"/>
      </rPr>
      <t xml:space="preserve">등</t>
    </r>
  </si>
  <si>
    <r>
      <rPr>
        <sz val="9"/>
        <rFont val="맑은 고딕"/>
        <family val="0"/>
        <charset val="1"/>
      </rPr>
      <t xml:space="preserve">FOMC·ECB·BOJ </t>
    </r>
    <r>
      <rPr>
        <sz val="9"/>
        <rFont val="Noto Sans CJK SC"/>
        <family val="2"/>
        <charset val="1"/>
      </rPr>
      <t xml:space="preserve">연 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  <charset val="1"/>
      </rPr>
      <t xml:space="preserve">회</t>
    </r>
  </si>
  <si>
    <t xml:space="preserve">유가/원자재</t>
  </si>
  <si>
    <t xml:space="preserve">한국석유공사 페트로넷/Reuters</t>
  </si>
  <si>
    <t xml:space="preserve">두바이유·WTI·CRB</t>
  </si>
  <si>
    <t xml:space="preserve">petronet.co.kr</t>
  </si>
  <si>
    <r>
      <rPr>
        <sz val="9"/>
        <rFont val="Noto Sans CJK SC"/>
        <family val="2"/>
        <charset val="1"/>
      </rPr>
      <t xml:space="preserve">유가 일별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  <charset val="1"/>
      </rPr>
      <t xml:space="preserve">브렌트 추가</t>
    </r>
  </si>
  <si>
    <t xml:space="preserve">대회</t>
  </si>
  <si>
    <t xml:space="preserve">한국은행 통화정책 경시대회</t>
  </si>
  <si>
    <t xml:space="preserve">과거 수상팀 영상·예심보고서</t>
  </si>
  <si>
    <r>
      <rPr>
        <sz val="9"/>
        <rFont val="맑은 고딕"/>
        <family val="0"/>
        <charset val="1"/>
      </rPr>
      <t xml:space="preserve">bok.or.kr </t>
    </r>
    <r>
      <rPr>
        <sz val="9"/>
        <rFont val="Noto Sans CJK SC"/>
        <family val="2"/>
        <charset val="1"/>
      </rPr>
      <t xml:space="preserve">경제교육</t>
    </r>
  </si>
  <si>
    <t xml:space="preserve">유튜브 채널 참조</t>
  </si>
  <si>
    <t xml:space="preserve">■ 작업 메모(To-do)</t>
  </si>
  <si>
    <t xml:space="preserve">□ [발표 D-day 7.8 기준] 확보 가능: 6월 CPI(7.2)·5월 경상수지(7월초)·6월 수출입(7.1)·6월 기대인플레(6월말)</t>
  </si>
  <si>
    <t xml:space="preserve">□ [발표일까지 미확보] 6월 고용(7월중순)·5월 산업활동(6월말 확보)·2Q GDP(7월말 속보) → 5월까지 값으로 발표</t>
  </si>
  <si>
    <t xml:space="preserve">□ 6월 소비자물가(7.2 발표) 입수 즉시 03.물가 갱신</t>
  </si>
  <si>
    <t xml:space="preserve">□ 7.16 금통위 결정 확인 후 02.기준금리 최종 갱신(발표 후)</t>
  </si>
  <si>
    <t xml:space="preserve">□ 5월 경상수지·수출입 확정치 06번 시트 입력</t>
  </si>
  <si>
    <t xml:space="preserve">□ 1Q 명목임금·IT특별급여(금융안정보고서 BOX B) 05번 시트 확인</t>
  </si>
  <si>
    <t xml:space="preserve">□ 수도권 주택가격 주간동향 09번 시트 주기적 갱신</t>
  </si>
  <si>
    <t xml:space="preserve">□ 대시보드 차트 2종(물가추이·금리경로) 발표자료용 export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</si>
</sst>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0"/>
      <charset val="1"/>
    </font>
    <font>
      <b val="true"/>
      <sz val="16"/>
      <color rgb="FF1F3864"/>
      <name val="Noto Sans CJK SC"/>
      <family val="2"/>
      <charset val="1"/>
    </font>
    <font>
      <sz val="10"/>
      <color rgb="FF595959"/>
      <name val="Noto Sans CJK SC"/>
      <family val="2"/>
      <charset val="1"/>
    </font>
    <font>
      <sz val="9"/>
      <name val="맑은 고딕"/>
      <family val="0"/>
      <charset val="1"/>
    </font>
    <font>
      <b val="true"/>
      <sz val="11"/>
      <color rgb="FF2E5496"/>
      <name val="Noto Sans CJK SC"/>
      <family val="2"/>
      <charset val="1"/>
    </font>
    <font>
      <b val="true"/>
      <sz val="9"/>
      <color rgb="FF595959"/>
      <name val="Noto Sans CJK SC"/>
      <family val="2"/>
      <charset val="1"/>
    </font>
    <font>
      <sz val="9"/>
      <name val="Noto Sans CJK SC"/>
      <family val="2"/>
      <charset val="1"/>
    </font>
    <font>
      <b val="true"/>
      <sz val="9"/>
      <color rgb="FF0000FF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b val="true"/>
      <sz val="9"/>
      <name val="Noto Sans CJK SC"/>
      <family val="2"/>
      <charset val="1"/>
    </font>
    <font>
      <b val="true"/>
      <sz val="15"/>
      <color rgb="FF1F3864"/>
      <name val="맑은 고딕"/>
      <family val="0"/>
      <charset val="1"/>
    </font>
    <font>
      <b val="true"/>
      <sz val="15"/>
      <color rgb="FF1F3864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1"/>
      <color rgb="FF2E5496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0000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8"/>
      <color rgb="FF595959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sz val="9"/>
      <color rgb="FF595959"/>
      <name val="맑은 고딕"/>
      <family val="0"/>
      <charset val="1"/>
    </font>
    <font>
      <sz val="9"/>
      <color rgb="FF0000FF"/>
      <name val="맑은 고딕"/>
      <family val="0"/>
      <charset val="1"/>
    </font>
    <font>
      <sz val="9"/>
      <color rgb="FF0000FF"/>
      <name val="Noto Sans CJK SC"/>
      <family val="2"/>
      <charset val="1"/>
    </font>
    <font>
      <sz val="8"/>
      <color rgb="FF595959"/>
      <name val="맑은 고딕"/>
      <family val="0"/>
      <charset val="1"/>
    </font>
    <font>
      <b val="true"/>
      <sz val="9"/>
      <name val="맑은 고딕"/>
      <family val="0"/>
      <charset val="1"/>
    </font>
    <font>
      <sz val="8"/>
      <color rgb="FFC00000"/>
      <name val="맑은 고딕"/>
      <family val="0"/>
      <charset val="1"/>
    </font>
    <font>
      <sz val="8"/>
      <color rgb="FFC00000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AF0FB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AF0FB"/>
      </patternFill>
    </fill>
    <fill>
      <patternFill patternType="solid">
        <fgColor rgb="FFEAF0FB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1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2"/>
  </cols>
  <sheetData>
    <row r="1" customFormat="false" ht="23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4"/>
    </row>
    <row r="5" customFormat="false" ht="15" hidden="false" customHeight="true" outlineLevel="0" collapsed="false">
      <c r="A5" s="5" t="s">
        <v>2</v>
      </c>
    </row>
    <row r="6" customFormat="false" ht="15" hidden="false" customHeight="true" outlineLevel="0" collapsed="false">
      <c r="A6" s="6" t="s">
        <v>3</v>
      </c>
      <c r="B6" s="6" t="s">
        <v>4</v>
      </c>
    </row>
    <row r="7" customFormat="false" ht="13.5" hidden="false" customHeight="true" outlineLevel="0" collapsed="false">
      <c r="A7" s="4" t="s">
        <v>5</v>
      </c>
      <c r="B7" s="7" t="s">
        <v>6</v>
      </c>
    </row>
    <row r="8" customFormat="false" ht="13.5" hidden="false" customHeight="true" outlineLevel="0" collapsed="false">
      <c r="A8" s="4" t="s">
        <v>7</v>
      </c>
      <c r="B8" s="7" t="s">
        <v>8</v>
      </c>
    </row>
    <row r="9" customFormat="false" ht="13.5" hidden="false" customHeight="true" outlineLevel="0" collapsed="false">
      <c r="A9" s="4" t="s">
        <v>9</v>
      </c>
      <c r="B9" s="7" t="s">
        <v>10</v>
      </c>
    </row>
    <row r="10" customFormat="false" ht="13.5" hidden="false" customHeight="true" outlineLevel="0" collapsed="false">
      <c r="A10" s="4" t="s">
        <v>11</v>
      </c>
      <c r="B10" s="4" t="s">
        <v>12</v>
      </c>
    </row>
    <row r="11" customFormat="false" ht="13.5" hidden="false" customHeight="true" outlineLevel="0" collapsed="false">
      <c r="A11" s="4" t="s">
        <v>13</v>
      </c>
      <c r="B11" s="7" t="s">
        <v>14</v>
      </c>
    </row>
    <row r="12" customFormat="false" ht="13.5" hidden="false" customHeight="true" outlineLevel="0" collapsed="false">
      <c r="A12" s="4" t="s">
        <v>15</v>
      </c>
      <c r="B12" s="7" t="s">
        <v>16</v>
      </c>
    </row>
    <row r="13" customFormat="false" ht="13.5" hidden="false" customHeight="true" outlineLevel="0" collapsed="false">
      <c r="A13" s="4" t="s">
        <v>17</v>
      </c>
      <c r="B13" s="7" t="s">
        <v>18</v>
      </c>
    </row>
    <row r="14" customFormat="false" ht="13.5" hidden="false" customHeight="true" outlineLevel="0" collapsed="false">
      <c r="A14" s="4" t="s">
        <v>19</v>
      </c>
      <c r="B14" s="7" t="s">
        <v>20</v>
      </c>
    </row>
    <row r="15" customFormat="false" ht="13.5" hidden="false" customHeight="true" outlineLevel="0" collapsed="false">
      <c r="A15" s="4" t="s">
        <v>21</v>
      </c>
      <c r="B15" s="7" t="s">
        <v>22</v>
      </c>
    </row>
    <row r="16" customFormat="false" ht="13.5" hidden="false" customHeight="true" outlineLevel="0" collapsed="false">
      <c r="A16" s="4" t="s">
        <v>23</v>
      </c>
      <c r="B16" s="7" t="s">
        <v>24</v>
      </c>
    </row>
    <row r="17" customFormat="false" ht="13.5" hidden="false" customHeight="true" outlineLevel="0" collapsed="false">
      <c r="A17" s="4" t="s">
        <v>25</v>
      </c>
      <c r="B17" s="7" t="s">
        <v>26</v>
      </c>
    </row>
    <row r="18" customFormat="false" ht="15" hidden="false" customHeight="true" outlineLevel="0" collapsed="false">
      <c r="A18" s="4"/>
      <c r="B18" s="4"/>
    </row>
    <row r="19" customFormat="false" ht="15" hidden="false" customHeight="true" outlineLevel="0" collapsed="false">
      <c r="A19" s="5" t="s">
        <v>27</v>
      </c>
    </row>
    <row r="20" customFormat="false" ht="15" hidden="false" customHeight="true" outlineLevel="0" collapsed="false">
      <c r="A20" s="8" t="s">
        <v>28</v>
      </c>
      <c r="B20" s="7" t="s">
        <v>29</v>
      </c>
    </row>
    <row r="21" customFormat="false" ht="15" hidden="false" customHeight="true" outlineLevel="0" collapsed="false">
      <c r="A21" s="9" t="s">
        <v>30</v>
      </c>
      <c r="B21" s="7" t="s">
        <v>31</v>
      </c>
    </row>
    <row r="22" customFormat="false" ht="15" hidden="false" customHeight="true" outlineLevel="0" collapsed="false">
      <c r="A22" s="10" t="s">
        <v>32</v>
      </c>
      <c r="B22" s="7" t="s">
        <v>33</v>
      </c>
    </row>
    <row r="23" customFormat="false" ht="15" hidden="false" customHeight="true" outlineLevel="0" collapsed="false">
      <c r="A23" s="8" t="s">
        <v>34</v>
      </c>
      <c r="B23" s="7" t="s">
        <v>35</v>
      </c>
    </row>
    <row r="24" customFormat="false" ht="15" hidden="false" customHeight="true" outlineLevel="0" collapsed="false">
      <c r="A24" s="4"/>
      <c r="B24" s="4"/>
    </row>
    <row r="25" customFormat="false" ht="15" hidden="false" customHeight="true" outlineLevel="0" collapsed="false">
      <c r="A25" s="5" t="s">
        <v>36</v>
      </c>
    </row>
    <row r="26" customFormat="false" ht="15" hidden="false" customHeight="true" outlineLevel="0" collapsed="false">
      <c r="A26" s="8" t="s">
        <v>37</v>
      </c>
      <c r="B26" s="7" t="s">
        <v>38</v>
      </c>
    </row>
    <row r="27" customFormat="false" ht="15" hidden="false" customHeight="true" outlineLevel="0" collapsed="false">
      <c r="A27" s="8" t="s">
        <v>39</v>
      </c>
      <c r="B27" s="7" t="s">
        <v>40</v>
      </c>
    </row>
    <row r="28" customFormat="false" ht="15" hidden="false" customHeight="true" outlineLevel="0" collapsed="false">
      <c r="A28" s="8" t="s">
        <v>41</v>
      </c>
      <c r="B28" s="7" t="s">
        <v>42</v>
      </c>
    </row>
    <row r="29" customFormat="false" ht="15" hidden="false" customHeight="false" outlineLevel="0" collapsed="false">
      <c r="A29" s="8" t="s">
        <v>43</v>
      </c>
      <c r="B29" s="7" t="s">
        <v>44</v>
      </c>
    </row>
    <row r="30" customFormat="false" ht="15" hidden="false" customHeight="false" outlineLevel="0" collapsed="false">
      <c r="A30" s="8" t="s">
        <v>45</v>
      </c>
      <c r="B30" s="7" t="s">
        <v>46</v>
      </c>
    </row>
    <row r="31" customFormat="false" ht="15" hidden="false" customHeight="false" outlineLevel="0" collapsed="false">
      <c r="A31" s="8" t="s">
        <v>47</v>
      </c>
      <c r="B31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4"/>
  </cols>
  <sheetData>
    <row r="1" customFormat="false" ht="22.5" hidden="false" customHeight="true" outlineLevel="0" collapsed="false">
      <c r="A1" s="11" t="s">
        <v>49</v>
      </c>
    </row>
    <row r="2" customFormat="false" ht="15" hidden="false" customHeight="true" outlineLevel="0" collapsed="false">
      <c r="A2" s="12" t="s">
        <v>50</v>
      </c>
    </row>
    <row r="4" customFormat="false" ht="16.5" hidden="false" customHeight="true" outlineLevel="0" collapsed="false">
      <c r="A4" s="13" t="s">
        <v>51</v>
      </c>
    </row>
    <row r="5" customFormat="false" ht="15" hidden="false" customHeight="true" outlineLevel="0" collapsed="false">
      <c r="A5" s="14" t="s">
        <v>52</v>
      </c>
      <c r="B5" s="14" t="s">
        <v>4</v>
      </c>
    </row>
    <row r="6" customFormat="false" ht="15" hidden="false" customHeight="true" outlineLevel="0" collapsed="false">
      <c r="A6" s="15" t="s">
        <v>53</v>
      </c>
      <c r="B6" s="16" t="n">
        <f aca="false">'02.기준금리·통화'!S5</f>
        <v>2.5</v>
      </c>
    </row>
    <row r="7" customFormat="false" ht="15" hidden="false" customHeight="true" outlineLevel="0" collapsed="false">
      <c r="A7" s="15" t="s">
        <v>54</v>
      </c>
      <c r="B7" s="16" t="s">
        <v>55</v>
      </c>
    </row>
    <row r="8" customFormat="false" ht="15" hidden="false" customHeight="true" outlineLevel="0" collapsed="false">
      <c r="A8" s="15" t="s">
        <v>56</v>
      </c>
      <c r="B8" s="16" t="s">
        <v>57</v>
      </c>
    </row>
    <row r="9" customFormat="false" ht="24" hidden="false" customHeight="true" outlineLevel="0" collapsed="false">
      <c r="A9" s="15" t="s">
        <v>58</v>
      </c>
      <c r="B9" s="16" t="s">
        <v>59</v>
      </c>
    </row>
    <row r="10" customFormat="false" ht="51.75" hidden="false" customHeight="true" outlineLevel="0" collapsed="false">
      <c r="A10" s="15" t="s">
        <v>60</v>
      </c>
      <c r="B10" s="17" t="s">
        <v>61</v>
      </c>
    </row>
    <row r="12" customFormat="false" ht="16.5" hidden="false" customHeight="true" outlineLevel="0" collapsed="false">
      <c r="A12" s="13" t="s">
        <v>62</v>
      </c>
    </row>
    <row r="13" customFormat="false" ht="15" hidden="false" customHeight="true" outlineLevel="0" collapsed="false">
      <c r="A13" s="18" t="s">
        <v>63</v>
      </c>
      <c r="B13" s="18" t="s">
        <v>64</v>
      </c>
      <c r="C13" s="18" t="s">
        <v>65</v>
      </c>
      <c r="D13" s="18" t="s">
        <v>66</v>
      </c>
      <c r="E13" s="18" t="s">
        <v>67</v>
      </c>
      <c r="F13" s="18" t="s">
        <v>68</v>
      </c>
    </row>
    <row r="14" customFormat="false" ht="15" hidden="false" customHeight="true" outlineLevel="0" collapsed="false">
      <c r="A14" s="19" t="s">
        <v>69</v>
      </c>
      <c r="B14" s="20" t="str">
        <f aca="false">IF(N('03.물가'!C5)=0,"",'03.물가'!C5)</f>
        <v/>
      </c>
      <c r="C14" s="20" t="str">
        <f aca="false">IF(N('03.물가'!C7)=0,"",'03.물가'!C7)</f>
        <v/>
      </c>
      <c r="D14" s="20" t="str">
        <f aca="false">IF(N('03.물가'!C9)=0,"",'03.물가'!C9)</f>
        <v/>
      </c>
      <c r="E14" s="20" t="str">
        <f aca="false">IF(N('02.기준금리·통화'!C5)=0,"",'02.기준금리·통화'!C5)</f>
        <v/>
      </c>
      <c r="F14" s="20" t="str">
        <f aca="false">IF(N('04.경기·성장'!C14)=0,"",'04.경기·성장'!C14)</f>
        <v/>
      </c>
    </row>
    <row r="15" customFormat="false" ht="15" hidden="false" customHeight="true" outlineLevel="0" collapsed="false">
      <c r="A15" s="19" t="s">
        <v>70</v>
      </c>
      <c r="B15" s="20" t="str">
        <f aca="false">IF(N('03.물가'!D5)=0,"",'03.물가'!D5)</f>
        <v/>
      </c>
      <c r="C15" s="20" t="str">
        <f aca="false">IF(N('03.물가'!D7)=0,"",'03.물가'!D7)</f>
        <v/>
      </c>
      <c r="D15" s="20" t="str">
        <f aca="false">IF(N('03.물가'!D9)=0,"",'03.물가'!D9)</f>
        <v/>
      </c>
      <c r="E15" s="20" t="str">
        <f aca="false">IF(N('02.기준금리·통화'!D5)=0,"",'02.기준금리·통화'!D5)</f>
        <v/>
      </c>
      <c r="F15" s="20" t="str">
        <f aca="false">IF(N('04.경기·성장'!D14)=0,"",'04.경기·성장'!D14)</f>
        <v/>
      </c>
    </row>
    <row r="16" customFormat="false" ht="15" hidden="false" customHeight="true" outlineLevel="0" collapsed="false">
      <c r="A16" s="19" t="s">
        <v>71</v>
      </c>
      <c r="B16" s="20" t="str">
        <f aca="false">IF(N('03.물가'!E5)=0,"",'03.물가'!E5)</f>
        <v/>
      </c>
      <c r="C16" s="20" t="str">
        <f aca="false">IF(N('03.물가'!E7)=0,"",'03.물가'!E7)</f>
        <v/>
      </c>
      <c r="D16" s="20" t="str">
        <f aca="false">IF(N('03.물가'!E9)=0,"",'03.물가'!E9)</f>
        <v/>
      </c>
      <c r="E16" s="20" t="str">
        <f aca="false">IF(N('02.기준금리·통화'!E5)=0,"",'02.기준금리·통화'!E5)</f>
        <v/>
      </c>
      <c r="F16" s="20" t="str">
        <f aca="false">IF(N('04.경기·성장'!E14)=0,"",'04.경기·성장'!E14)</f>
        <v/>
      </c>
    </row>
    <row r="17" customFormat="false" ht="15" hidden="false" customHeight="true" outlineLevel="0" collapsed="false">
      <c r="A17" s="19" t="s">
        <v>72</v>
      </c>
      <c r="B17" s="20" t="str">
        <f aca="false">IF(N('03.물가'!F5)=0,"",'03.물가'!F5)</f>
        <v/>
      </c>
      <c r="C17" s="20" t="str">
        <f aca="false">IF(N('03.물가'!F7)=0,"",'03.물가'!F7)</f>
        <v/>
      </c>
      <c r="D17" s="20" t="str">
        <f aca="false">IF(N('03.물가'!F9)=0,"",'03.물가'!F9)</f>
        <v/>
      </c>
      <c r="E17" s="20" t="str">
        <f aca="false">IF(N('02.기준금리·통화'!F5)=0,"",'02.기준금리·통화'!F5)</f>
        <v/>
      </c>
      <c r="F17" s="20" t="str">
        <f aca="false">IF(N('04.경기·성장'!F14)=0,"",'04.경기·성장'!F14)</f>
        <v/>
      </c>
    </row>
    <row r="18" customFormat="false" ht="15" hidden="false" customHeight="true" outlineLevel="0" collapsed="false">
      <c r="A18" s="19" t="s">
        <v>73</v>
      </c>
      <c r="B18" s="20" t="str">
        <f aca="false">IF(N('03.물가'!G5)=0,"",'03.물가'!G5)</f>
        <v/>
      </c>
      <c r="C18" s="20" t="str">
        <f aca="false">IF(N('03.물가'!G7)=0,"",'03.물가'!G7)</f>
        <v/>
      </c>
      <c r="D18" s="20" t="str">
        <f aca="false">IF(N('03.물가'!G9)=0,"",'03.물가'!G9)</f>
        <v/>
      </c>
      <c r="E18" s="20" t="str">
        <f aca="false">IF(N('02.기준금리·통화'!G5)=0,"",'02.기준금리·통화'!G5)</f>
        <v/>
      </c>
      <c r="F18" s="20" t="str">
        <f aca="false">IF(N('04.경기·성장'!G14)=0,"",'04.경기·성장'!G14)</f>
        <v/>
      </c>
    </row>
    <row r="19" customFormat="false" ht="15" hidden="false" customHeight="true" outlineLevel="0" collapsed="false">
      <c r="A19" s="19" t="s">
        <v>74</v>
      </c>
      <c r="B19" s="20" t="str">
        <f aca="false">IF(N('03.물가'!H5)=0,"",'03.물가'!H5)</f>
        <v/>
      </c>
      <c r="C19" s="20" t="str">
        <f aca="false">IF(N('03.물가'!H7)=0,"",'03.물가'!H7)</f>
        <v/>
      </c>
      <c r="D19" s="20" t="str">
        <f aca="false">IF(N('03.물가'!H9)=0,"",'03.물가'!H9)</f>
        <v/>
      </c>
      <c r="E19" s="20" t="str">
        <f aca="false">IF(N('02.기준금리·통화'!H5)=0,"",'02.기준금리·통화'!H5)</f>
        <v/>
      </c>
      <c r="F19" s="20" t="str">
        <f aca="false">IF(N('04.경기·성장'!H14)=0,"",'04.경기·성장'!H14)</f>
        <v/>
      </c>
    </row>
    <row r="20" customFormat="false" ht="15" hidden="false" customHeight="true" outlineLevel="0" collapsed="false">
      <c r="A20" s="19" t="s">
        <v>75</v>
      </c>
      <c r="B20" s="20" t="str">
        <f aca="false">IF(N('03.물가'!I5)=0,"",'03.물가'!I5)</f>
        <v/>
      </c>
      <c r="C20" s="20" t="str">
        <f aca="false">IF(N('03.물가'!I7)=0,"",'03.물가'!I7)</f>
        <v/>
      </c>
      <c r="D20" s="20" t="str">
        <f aca="false">IF(N('03.물가'!I9)=0,"",'03.물가'!I9)</f>
        <v/>
      </c>
      <c r="E20" s="20" t="str">
        <f aca="false">IF(N('02.기준금리·통화'!I5)=0,"",'02.기준금리·통화'!I5)</f>
        <v/>
      </c>
      <c r="F20" s="20" t="str">
        <f aca="false">IF(N('04.경기·성장'!I14)=0,"",'04.경기·성장'!I14)</f>
        <v/>
      </c>
    </row>
    <row r="21" customFormat="false" ht="15" hidden="false" customHeight="true" outlineLevel="0" collapsed="false">
      <c r="A21" s="19" t="s">
        <v>76</v>
      </c>
      <c r="B21" s="20" t="str">
        <f aca="false">IF(N('03.물가'!J5)=0,"",'03.물가'!J5)</f>
        <v/>
      </c>
      <c r="C21" s="20" t="str">
        <f aca="false">IF(N('03.물가'!J7)=0,"",'03.물가'!J7)</f>
        <v/>
      </c>
      <c r="D21" s="20" t="str">
        <f aca="false">IF(N('03.물가'!J9)=0,"",'03.물가'!J9)</f>
        <v/>
      </c>
      <c r="E21" s="20" t="str">
        <f aca="false">IF(N('02.기준금리·통화'!J5)=0,"",'02.기준금리·통화'!J5)</f>
        <v/>
      </c>
      <c r="F21" s="20" t="str">
        <f aca="false">IF(N('04.경기·성장'!J14)=0,"",'04.경기·성장'!J14)</f>
        <v/>
      </c>
    </row>
    <row r="22" customFormat="false" ht="15" hidden="false" customHeight="false" outlineLevel="0" collapsed="false">
      <c r="A22" s="19" t="s">
        <v>77</v>
      </c>
      <c r="B22" s="20" t="str">
        <f aca="false">IF(N('03.물가'!K5)=0,"",'03.물가'!K5)</f>
        <v/>
      </c>
      <c r="C22" s="20" t="str">
        <f aca="false">IF(N('03.물가'!K7)=0,"",'03.물가'!K7)</f>
        <v/>
      </c>
      <c r="D22" s="20" t="str">
        <f aca="false">IF(N('03.물가'!K9)=0,"",'03.물가'!K9)</f>
        <v/>
      </c>
      <c r="E22" s="20" t="str">
        <f aca="false">IF(N('02.기준금리·통화'!K5)=0,"",'02.기준금리·통화'!K5)</f>
        <v/>
      </c>
      <c r="F22" s="20" t="str">
        <f aca="false">IF(N('04.경기·성장'!K14)=0,"",'04.경기·성장'!K14)</f>
        <v/>
      </c>
    </row>
    <row r="23" customFormat="false" ht="15" hidden="false" customHeight="true" outlineLevel="0" collapsed="false">
      <c r="A23" s="19" t="s">
        <v>78</v>
      </c>
      <c r="B23" s="20" t="str">
        <f aca="false">IF(N('03.물가'!L5)=0,"",'03.물가'!L5)</f>
        <v/>
      </c>
      <c r="C23" s="20" t="str">
        <f aca="false">IF(N('03.물가'!L7)=0,"",'03.물가'!L7)</f>
        <v/>
      </c>
      <c r="D23" s="20" t="str">
        <f aca="false">IF(N('03.물가'!L9)=0,"",'03.물가'!L9)</f>
        <v/>
      </c>
      <c r="E23" s="20" t="str">
        <f aca="false">IF(N('02.기준금리·통화'!L5)=0,"",'02.기준금리·통화'!L5)</f>
        <v/>
      </c>
      <c r="F23" s="20" t="str">
        <f aca="false">IF(N('04.경기·성장'!L14)=0,"",'04.경기·성장'!L14)</f>
        <v/>
      </c>
    </row>
    <row r="24" customFormat="false" ht="15" hidden="false" customHeight="false" outlineLevel="0" collapsed="false">
      <c r="A24" s="19" t="s">
        <v>79</v>
      </c>
      <c r="B24" s="20" t="str">
        <f aca="false">IF(N('03.물가'!M5)=0,"",'03.물가'!M5)</f>
        <v/>
      </c>
      <c r="C24" s="20" t="str">
        <f aca="false">IF(N('03.물가'!M7)=0,"",'03.물가'!M7)</f>
        <v/>
      </c>
      <c r="D24" s="20" t="str">
        <f aca="false">IF(N('03.물가'!M9)=0,"",'03.물가'!M9)</f>
        <v/>
      </c>
      <c r="E24" s="20" t="str">
        <f aca="false">IF(N('02.기준금리·통화'!M5)=0,"",'02.기준금리·통화'!M5)</f>
        <v/>
      </c>
      <c r="F24" s="20" t="str">
        <f aca="false">IF(N('04.경기·성장'!M14)=0,"",'04.경기·성장'!M14)</f>
        <v/>
      </c>
    </row>
    <row r="25" customFormat="false" ht="15" hidden="false" customHeight="false" outlineLevel="0" collapsed="false">
      <c r="A25" s="19" t="s">
        <v>80</v>
      </c>
      <c r="B25" s="20" t="str">
        <f aca="false">IF(N('03.물가'!N5)=0,"",'03.물가'!N5)</f>
        <v/>
      </c>
      <c r="C25" s="20" t="str">
        <f aca="false">IF(N('03.물가'!N7)=0,"",'03.물가'!N7)</f>
        <v/>
      </c>
      <c r="D25" s="20" t="str">
        <f aca="false">IF(N('03.물가'!N9)=0,"",'03.물가'!N9)</f>
        <v/>
      </c>
      <c r="E25" s="20" t="n">
        <f aca="false">IF(N('02.기준금리·통화'!N5)=0,"",'02.기준금리·통화'!N5)</f>
        <v>2.5</v>
      </c>
      <c r="F25" s="20" t="str">
        <f aca="false">IF(N('04.경기·성장'!N14)=0,"",'04.경기·성장'!N14)</f>
        <v/>
      </c>
    </row>
    <row r="26" customFormat="false" ht="15" hidden="false" customHeight="false" outlineLevel="0" collapsed="false">
      <c r="A26" s="19" t="s">
        <v>81</v>
      </c>
      <c r="B26" s="20" t="n">
        <f aca="false">IF(N('03.물가'!O5)=0,"",'03.물가'!O5)</f>
        <v>2</v>
      </c>
      <c r="C26" s="20" t="str">
        <f aca="false">IF(N('03.물가'!O7)=0,"",'03.물가'!O7)</f>
        <v/>
      </c>
      <c r="D26" s="20" t="str">
        <f aca="false">IF(N('03.물가'!O9)=0,"",'03.물가'!O9)</f>
        <v/>
      </c>
      <c r="E26" s="20" t="n">
        <f aca="false">IF(N('02.기준금리·통화'!O5)=0,"",'02.기준금리·통화'!O5)</f>
        <v>2.5</v>
      </c>
      <c r="F26" s="20" t="str">
        <f aca="false">IF(N('04.경기·성장'!O14)=0,"",'04.경기·성장'!O14)</f>
        <v/>
      </c>
    </row>
    <row r="27" customFormat="false" ht="15" hidden="false" customHeight="false" outlineLevel="0" collapsed="false">
      <c r="A27" s="19" t="s">
        <v>82</v>
      </c>
      <c r="B27" s="20" t="n">
        <f aca="false">IF(N('03.물가'!P5)=0,"",'03.물가'!P5)</f>
        <v>2</v>
      </c>
      <c r="C27" s="20" t="str">
        <f aca="false">IF(N('03.물가'!P7)=0,"",'03.물가'!P7)</f>
        <v/>
      </c>
      <c r="D27" s="20" t="str">
        <f aca="false">IF(N('03.물가'!P9)=0,"",'03.물가'!P9)</f>
        <v/>
      </c>
      <c r="E27" s="20" t="n">
        <f aca="false">IF(N('02.기준금리·통화'!P5)=0,"",'02.기준금리·통화'!P5)</f>
        <v>2.5</v>
      </c>
      <c r="F27" s="20" t="str">
        <f aca="false">IF(N('04.경기·성장'!P14)=0,"",'04.경기·성장'!P14)</f>
        <v/>
      </c>
    </row>
    <row r="28" customFormat="false" ht="15" hidden="false" customHeight="false" outlineLevel="0" collapsed="false">
      <c r="A28" s="19" t="s">
        <v>83</v>
      </c>
      <c r="B28" s="20" t="n">
        <f aca="false">IF(N('03.물가'!Q5)=0,"",'03.물가'!Q5)</f>
        <v>2.2</v>
      </c>
      <c r="C28" s="20" t="str">
        <f aca="false">IF(N('03.물가'!Q7)=0,"",'03.물가'!Q7)</f>
        <v/>
      </c>
      <c r="D28" s="20" t="str">
        <f aca="false">IF(N('03.물가'!Q9)=0,"",'03.물가'!Q9)</f>
        <v/>
      </c>
      <c r="E28" s="20" t="n">
        <f aca="false">IF(N('02.기준금리·통화'!Q5)=0,"",'02.기준금리·통화'!Q5)</f>
        <v>2.5</v>
      </c>
      <c r="F28" s="20" t="str">
        <f aca="false">IF(N('04.경기·성장'!Q14)=0,"",'04.경기·성장'!Q14)</f>
        <v/>
      </c>
    </row>
    <row r="29" customFormat="false" ht="15" hidden="false" customHeight="false" outlineLevel="0" collapsed="false">
      <c r="A29" s="19" t="s">
        <v>84</v>
      </c>
      <c r="B29" s="20" t="n">
        <f aca="false">IF(N('03.물가'!R5)=0,"",'03.물가'!R5)</f>
        <v>2.6</v>
      </c>
      <c r="C29" s="20" t="n">
        <f aca="false">IF(N('03.물가'!R7)=0,"",'03.물가'!R7)</f>
        <v>2.2</v>
      </c>
      <c r="D29" s="20" t="str">
        <f aca="false">IF(N('03.물가'!R9)=0,"",'03.물가'!R9)</f>
        <v/>
      </c>
      <c r="E29" s="20" t="n">
        <f aca="false">IF(N('02.기준금리·통화'!R5)=0,"",'02.기준금리·통화'!R5)</f>
        <v>2.5</v>
      </c>
      <c r="F29" s="20" t="n">
        <f aca="false">IF(N('04.경기·성장'!R14)=0,"",'04.경기·성장'!R14)</f>
        <v>99.2</v>
      </c>
    </row>
    <row r="30" customFormat="false" ht="15" hidden="false" customHeight="false" outlineLevel="0" collapsed="false">
      <c r="A30" s="19" t="s">
        <v>85</v>
      </c>
      <c r="B30" s="20" t="n">
        <f aca="false">IF(N('03.물가'!S5)=0,"",'03.물가'!S5)</f>
        <v>3.1</v>
      </c>
      <c r="C30" s="20" t="n">
        <f aca="false">IF(N('03.물가'!S7)=0,"",'03.물가'!S7)</f>
        <v>2.5</v>
      </c>
      <c r="D30" s="20" t="n">
        <f aca="false">IF(N('03.물가'!S9)=0,"",'03.물가'!S9)</f>
        <v>2.8</v>
      </c>
      <c r="E30" s="20" t="n">
        <f aca="false">IF(N('02.기준금리·통화'!S5)=0,"",'02.기준금리·통화'!S5)</f>
        <v>2.5</v>
      </c>
      <c r="F30" s="20" t="n">
        <f aca="false">IF(N('04.경기·성장'!S14)=0,"",'04.경기·성장'!S14)</f>
        <v>106.1</v>
      </c>
    </row>
    <row r="31" customFormat="false" ht="15" hidden="false" customHeight="false" outlineLevel="0" collapsed="false">
      <c r="A31" s="19" t="s">
        <v>86</v>
      </c>
      <c r="B31" s="20" t="str">
        <f aca="false">IF(N('03.물가'!T5)=0,"",'03.물가'!T5)</f>
        <v/>
      </c>
      <c r="C31" s="20" t="str">
        <f aca="false">IF(N('03.물가'!T7)=0,"",'03.물가'!T7)</f>
        <v/>
      </c>
      <c r="D31" s="20" t="n">
        <f aca="false">IF(N('03.물가'!T9)=0,"",'03.물가'!T9)</f>
        <v>2.8</v>
      </c>
      <c r="E31" s="20" t="str">
        <f aca="false">IF(N('02.기준금리·통화'!T5)=0,"",'02.기준금리·통화'!T5)</f>
        <v/>
      </c>
      <c r="F31" s="20" t="n">
        <f aca="false">IF(N('04.경기·성장'!T14)=0,"",'04.경기·성장'!T14)</f>
        <v>106.6</v>
      </c>
    </row>
    <row r="32" customFormat="false" ht="15" hidden="false" customHeight="false" outlineLevel="0" collapsed="false">
      <c r="A32" s="19" t="s">
        <v>87</v>
      </c>
      <c r="B32" s="20" t="str">
        <f aca="false">IF(N('03.물가'!U5)=0,"",'03.물가'!U5)</f>
        <v/>
      </c>
      <c r="C32" s="20" t="str">
        <f aca="false">IF(N('03.물가'!U7)=0,"",'03.물가'!U7)</f>
        <v/>
      </c>
      <c r="D32" s="20" t="str">
        <f aca="false">IF(N('03.물가'!U9)=0,"",'03.물가'!U9)</f>
        <v/>
      </c>
      <c r="E32" s="20" t="str">
        <f aca="false">IF(N('02.기준금리·통화'!U5)=0,"",'02.기준금리·통화'!U5)</f>
        <v/>
      </c>
      <c r="F32" s="20" t="str">
        <f aca="false">IF(N('04.경기·성장'!U14)=0,"",'04.경기·성장'!U14)</f>
        <v/>
      </c>
    </row>
    <row r="34" customFormat="false" ht="15" hidden="false" customHeight="false" outlineLevel="0" collapsed="false">
      <c r="A34" s="2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89</v>
      </c>
    </row>
    <row r="2" customFormat="false" ht="15" hidden="false" customHeight="true" outlineLevel="0" collapsed="false">
      <c r="A2" s="12" t="s">
        <v>90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95</v>
      </c>
      <c r="B5" s="25" t="s">
        <v>96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n">
        <v>2.5</v>
      </c>
      <c r="O5" s="26" t="n">
        <v>2.5</v>
      </c>
      <c r="P5" s="26" t="n">
        <v>2.5</v>
      </c>
      <c r="Q5" s="26" t="n">
        <v>2.5</v>
      </c>
      <c r="R5" s="26" t="n">
        <v>2.5</v>
      </c>
      <c r="S5" s="26" t="n">
        <v>2.5</v>
      </c>
      <c r="T5" s="26"/>
      <c r="U5" s="26"/>
      <c r="V5" s="27" t="s">
        <v>97</v>
      </c>
      <c r="W5" s="28" t="s">
        <v>98</v>
      </c>
    </row>
    <row r="6" customFormat="false" ht="15" hidden="false" customHeight="true" outlineLevel="0" collapsed="false">
      <c r="A6" s="29" t="s">
        <v>99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 t="n">
        <v>3.75</v>
      </c>
      <c r="U6" s="26"/>
      <c r="V6" s="30" t="s">
        <v>100</v>
      </c>
      <c r="W6" s="28" t="s">
        <v>101</v>
      </c>
    </row>
    <row r="7" customFormat="false" ht="15" hidden="false" customHeight="true" outlineLevel="0" collapsed="false">
      <c r="A7" s="24" t="s">
        <v>102</v>
      </c>
      <c r="B7" s="25" t="s">
        <v>103</v>
      </c>
      <c r="C7" s="20" t="str">
        <f aca="false">IF(AND(ISNUMBER(C5),ISNUMBER(C6)),C5-C6,"")</f>
        <v/>
      </c>
      <c r="D7" s="20" t="str">
        <f aca="false">IF(AND(ISNUMBER(D5),ISNUMBER(D6)),D5-D6,"")</f>
        <v/>
      </c>
      <c r="E7" s="20" t="str">
        <f aca="false">IF(AND(ISNUMBER(E5),ISNUMBER(E6)),E5-E6,"")</f>
        <v/>
      </c>
      <c r="F7" s="20" t="str">
        <f aca="false">IF(AND(ISNUMBER(F5),ISNUMBER(F6)),F5-F6,"")</f>
        <v/>
      </c>
      <c r="G7" s="20" t="str">
        <f aca="false">IF(AND(ISNUMBER(G5),ISNUMBER(G6)),G5-G6,"")</f>
        <v/>
      </c>
      <c r="H7" s="20" t="str">
        <f aca="false">IF(AND(ISNUMBER(H5),ISNUMBER(H6)),H5-H6,"")</f>
        <v/>
      </c>
      <c r="I7" s="20" t="str">
        <f aca="false">IF(AND(ISNUMBER(I5),ISNUMBER(I6)),I5-I6,"")</f>
        <v/>
      </c>
      <c r="J7" s="20" t="str">
        <f aca="false">IF(AND(ISNUMBER(J5),ISNUMBER(J6)),J5-J6,"")</f>
        <v/>
      </c>
      <c r="K7" s="20" t="str">
        <f aca="false">IF(AND(ISNUMBER(K5),ISNUMBER(K6)),K5-K6,"")</f>
        <v/>
      </c>
      <c r="L7" s="20" t="str">
        <f aca="false">IF(AND(ISNUMBER(L5),ISNUMBER(L6)),L5-L6,"")</f>
        <v/>
      </c>
      <c r="M7" s="20" t="str">
        <f aca="false">IF(AND(ISNUMBER(M5),ISNUMBER(M6)),M5-M6,"")</f>
        <v/>
      </c>
      <c r="N7" s="20" t="str">
        <f aca="false">IF(AND(ISNUMBER(N5),ISNUMBER(N6)),N5-N6,"")</f>
        <v/>
      </c>
      <c r="O7" s="20" t="str">
        <f aca="false">IF(AND(ISNUMBER(O5),ISNUMBER(O6)),O5-O6,"")</f>
        <v/>
      </c>
      <c r="P7" s="20" t="str">
        <f aca="false">IF(AND(ISNUMBER(P5),ISNUMBER(P6)),P5-P6,"")</f>
        <v/>
      </c>
      <c r="Q7" s="20" t="str">
        <f aca="false">IF(AND(ISNUMBER(Q5),ISNUMBER(Q6)),Q5-Q6,"")</f>
        <v/>
      </c>
      <c r="R7" s="20" t="str">
        <f aca="false">IF(AND(ISNUMBER(R5),ISNUMBER(R6)),R5-R6,"")</f>
        <v/>
      </c>
      <c r="S7" s="20" t="str">
        <f aca="false">IF(AND(ISNUMBER(S5),ISNUMBER(S6)),S5-S6,"")</f>
        <v/>
      </c>
      <c r="T7" s="20" t="str">
        <f aca="false">IF(AND(ISNUMBER(T5),ISNUMBER(T6)),T5-T6,"")</f>
        <v/>
      </c>
      <c r="U7" s="20" t="str">
        <f aca="false">IF(AND(ISNUMBER(U5),ISNUMBER(U6)),U5-U6,"")</f>
        <v/>
      </c>
      <c r="V7" s="27" t="s">
        <v>104</v>
      </c>
      <c r="W7" s="28" t="s">
        <v>105</v>
      </c>
    </row>
    <row r="8" customFormat="false" ht="15" hidden="false" customHeight="true" outlineLevel="0" collapsed="false">
      <c r="A8" s="29" t="s">
        <v>106</v>
      </c>
      <c r="B8" s="25" t="s">
        <v>96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 t="s">
        <v>107</v>
      </c>
      <c r="W8" s="28" t="s">
        <v>108</v>
      </c>
    </row>
    <row r="9" customFormat="false" ht="15" hidden="false" customHeight="true" outlineLevel="0" collapsed="false">
      <c r="A9" s="24" t="s">
        <v>109</v>
      </c>
      <c r="B9" s="31" t="s">
        <v>110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 t="s">
        <v>97</v>
      </c>
      <c r="W9" s="28" t="s">
        <v>111</v>
      </c>
    </row>
    <row r="10" customFormat="false" ht="15" hidden="false" customHeight="true" outlineLevel="0" collapsed="false">
      <c r="A10" s="32" t="s">
        <v>112</v>
      </c>
      <c r="B10" s="31" t="s">
        <v>110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 t="s">
        <v>97</v>
      </c>
      <c r="W10" s="28" t="s">
        <v>113</v>
      </c>
    </row>
    <row r="11" customFormat="false" ht="15" hidden="false" customHeight="true" outlineLevel="0" collapsed="false">
      <c r="A11" s="33" t="s">
        <v>114</v>
      </c>
      <c r="B11" s="31" t="s">
        <v>110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 t="s">
        <v>97</v>
      </c>
      <c r="W11" s="28" t="s">
        <v>113</v>
      </c>
    </row>
    <row r="12" customFormat="false" ht="15" hidden="false" customHeight="true" outlineLevel="0" collapsed="false">
      <c r="A12" s="24" t="s">
        <v>115</v>
      </c>
      <c r="B12" s="25" t="s">
        <v>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34" t="s">
        <v>97</v>
      </c>
      <c r="W12" s="26" t="s">
        <v>116</v>
      </c>
    </row>
    <row r="13" customFormat="false" ht="15" hidden="false" customHeight="false" outlineLevel="0" collapsed="false">
      <c r="A13" s="32" t="s">
        <v>117</v>
      </c>
      <c r="B13" s="31" t="s">
        <v>110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97</v>
      </c>
      <c r="W13" s="28" t="s">
        <v>113</v>
      </c>
    </row>
    <row r="14" customFormat="false" ht="15" hidden="false" customHeight="true" outlineLevel="0" collapsed="false"/>
    <row r="15" customFormat="false" ht="15" hidden="false" customHeight="false" outlineLevel="0" collapsed="false">
      <c r="A15" s="35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119</v>
      </c>
    </row>
    <row r="2" customFormat="false" ht="15" hidden="false" customHeight="true" outlineLevel="0" collapsed="false">
      <c r="A2" s="12" t="s">
        <v>120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121</v>
      </c>
      <c r="B5" s="25" t="s">
        <v>96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 t="n">
        <v>2</v>
      </c>
      <c r="P5" s="26" t="n">
        <v>2</v>
      </c>
      <c r="Q5" s="26" t="n">
        <v>2.2</v>
      </c>
      <c r="R5" s="26" t="n">
        <v>2.6</v>
      </c>
      <c r="S5" s="26" t="n">
        <v>3.1</v>
      </c>
      <c r="T5" s="26"/>
      <c r="U5" s="26"/>
      <c r="V5" s="27" t="s">
        <v>122</v>
      </c>
      <c r="W5" s="28" t="s">
        <v>123</v>
      </c>
    </row>
    <row r="6" customFormat="false" ht="15" hidden="false" customHeight="true" outlineLevel="0" collapsed="false">
      <c r="A6" s="24" t="s">
        <v>124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 t="n">
        <v>2.2</v>
      </c>
      <c r="P6" s="26" t="n">
        <v>1.8</v>
      </c>
      <c r="Q6" s="26" t="n">
        <v>2.3</v>
      </c>
      <c r="R6" s="26" t="n">
        <v>2.9</v>
      </c>
      <c r="S6" s="26" t="n">
        <v>3.3</v>
      </c>
      <c r="T6" s="26"/>
      <c r="U6" s="26"/>
      <c r="V6" s="34" t="s">
        <v>122</v>
      </c>
      <c r="W6" s="26" t="s">
        <v>125</v>
      </c>
    </row>
    <row r="7" customFormat="false" ht="15" hidden="false" customHeight="true" outlineLevel="0" collapsed="false">
      <c r="A7" s="29" t="s">
        <v>126</v>
      </c>
      <c r="B7" s="25" t="s">
        <v>96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 t="n">
        <v>2.2</v>
      </c>
      <c r="S7" s="26" t="n">
        <v>2.5</v>
      </c>
      <c r="T7" s="26"/>
      <c r="U7" s="26"/>
      <c r="V7" s="27" t="s">
        <v>122</v>
      </c>
      <c r="W7" s="28" t="s">
        <v>123</v>
      </c>
    </row>
    <row r="8" customFormat="false" ht="15" hidden="false" customHeight="true" outlineLevel="0" collapsed="false">
      <c r="A8" s="24" t="s">
        <v>127</v>
      </c>
      <c r="B8" s="25" t="s">
        <v>96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 t="s">
        <v>97</v>
      </c>
      <c r="W8" s="28" t="s">
        <v>128</v>
      </c>
    </row>
    <row r="9" customFormat="false" ht="15" hidden="false" customHeight="true" outlineLevel="0" collapsed="false">
      <c r="A9" s="29" t="s">
        <v>129</v>
      </c>
      <c r="B9" s="25" t="s">
        <v>96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 t="n">
        <v>2.8</v>
      </c>
      <c r="T9" s="26" t="n">
        <v>2.8</v>
      </c>
      <c r="U9" s="26"/>
      <c r="V9" s="27" t="s">
        <v>97</v>
      </c>
      <c r="W9" s="28" t="s">
        <v>130</v>
      </c>
    </row>
    <row r="10" customFormat="false" ht="15" hidden="false" customHeight="true" outlineLevel="0" collapsed="false">
      <c r="A10" s="24" t="s">
        <v>131</v>
      </c>
      <c r="B10" s="25" t="s">
        <v>96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 t="n">
        <v>2.6</v>
      </c>
      <c r="S10" s="26" t="n">
        <v>2.6</v>
      </c>
      <c r="T10" s="26" t="n">
        <v>2.6</v>
      </c>
      <c r="U10" s="26"/>
      <c r="V10" s="34" t="s">
        <v>97</v>
      </c>
      <c r="W10" s="26" t="s">
        <v>132</v>
      </c>
    </row>
    <row r="11" customFormat="false" ht="15" hidden="false" customHeight="true" outlineLevel="0" collapsed="false">
      <c r="A11" s="24" t="s">
        <v>133</v>
      </c>
      <c r="B11" s="25" t="s">
        <v>96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 t="n">
        <v>2.6</v>
      </c>
      <c r="S11" s="26" t="n">
        <v>2.6</v>
      </c>
      <c r="T11" s="26"/>
      <c r="U11" s="26"/>
      <c r="V11" s="34" t="s">
        <v>97</v>
      </c>
      <c r="W11" s="36" t="s">
        <v>134</v>
      </c>
    </row>
    <row r="12" customFormat="false" ht="15" hidden="false" customHeight="true" outlineLevel="0" collapsed="false">
      <c r="A12" s="24" t="s">
        <v>135</v>
      </c>
      <c r="B12" s="25" t="s">
        <v>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 t="n">
        <v>2.7</v>
      </c>
      <c r="S12" s="26" t="n">
        <v>2.8</v>
      </c>
      <c r="T12" s="26" t="n">
        <v>2.8</v>
      </c>
      <c r="U12" s="26"/>
      <c r="V12" s="34" t="s">
        <v>97</v>
      </c>
      <c r="W12" s="26" t="s">
        <v>136</v>
      </c>
    </row>
    <row r="13" customFormat="false" ht="15" hidden="false" customHeight="true" outlineLevel="0" collapsed="false">
      <c r="A13" s="24" t="s">
        <v>137</v>
      </c>
      <c r="B13" s="25" t="s">
        <v>96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 t="n">
        <v>24.2</v>
      </c>
      <c r="T13" s="26"/>
      <c r="U13" s="26"/>
      <c r="V13" s="27" t="s">
        <v>122</v>
      </c>
      <c r="W13" s="28" t="s">
        <v>138</v>
      </c>
    </row>
    <row r="14" customFormat="false" ht="15" hidden="false" customHeight="true" outlineLevel="0" collapsed="false">
      <c r="A14" s="24" t="s">
        <v>139</v>
      </c>
      <c r="B14" s="25" t="s">
        <v>96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 t="n">
        <v>1.9</v>
      </c>
      <c r="P14" s="26" t="n">
        <v>1.7</v>
      </c>
      <c r="Q14" s="26" t="n">
        <v>1.8</v>
      </c>
      <c r="R14" s="26" t="n">
        <v>1.4</v>
      </c>
      <c r="S14" s="26" t="n">
        <v>1.6</v>
      </c>
      <c r="T14" s="26"/>
      <c r="U14" s="26"/>
      <c r="V14" s="34" t="s">
        <v>122</v>
      </c>
      <c r="W14" s="36" t="s">
        <v>138</v>
      </c>
    </row>
    <row r="15" customFormat="false" ht="15" hidden="false" customHeight="false" outlineLevel="0" collapsed="false">
      <c r="A15" s="29" t="s">
        <v>140</v>
      </c>
      <c r="B15" s="25" t="s">
        <v>96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 t="s">
        <v>122</v>
      </c>
      <c r="W15" s="28" t="s">
        <v>138</v>
      </c>
    </row>
    <row r="16" customFormat="false" ht="15" hidden="false" customHeight="false" outlineLevel="0" collapsed="false">
      <c r="A16" s="24" t="s">
        <v>141</v>
      </c>
      <c r="B16" s="25" t="s">
        <v>96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 t="s">
        <v>122</v>
      </c>
      <c r="W16" s="28" t="s">
        <v>138</v>
      </c>
    </row>
    <row r="17" customFormat="false" ht="15" hidden="false" customHeight="false" outlineLevel="0" collapsed="false">
      <c r="A17" s="29" t="s">
        <v>142</v>
      </c>
      <c r="B17" s="25" t="s">
        <v>96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7" t="s">
        <v>122</v>
      </c>
      <c r="W17" s="28" t="s">
        <v>138</v>
      </c>
    </row>
    <row r="18" customFormat="false" ht="15" hidden="false" customHeight="false" outlineLevel="0" collapsed="false">
      <c r="A18" s="24" t="s">
        <v>143</v>
      </c>
      <c r="B18" s="25" t="s">
        <v>96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7" t="s">
        <v>122</v>
      </c>
      <c r="W18" s="28" t="s">
        <v>138</v>
      </c>
    </row>
    <row r="19" customFormat="false" ht="15" hidden="false" customHeight="false" outlineLevel="0" collapsed="false">
      <c r="A19" s="29" t="s">
        <v>144</v>
      </c>
      <c r="B19" s="25" t="s">
        <v>96</v>
      </c>
      <c r="C19" s="26" t="n">
        <v>2</v>
      </c>
      <c r="D19" s="26" t="n">
        <v>2</v>
      </c>
      <c r="E19" s="26" t="n">
        <v>2</v>
      </c>
      <c r="F19" s="26" t="n">
        <v>2</v>
      </c>
      <c r="G19" s="26" t="n">
        <v>2</v>
      </c>
      <c r="H19" s="26" t="n">
        <v>2</v>
      </c>
      <c r="I19" s="26" t="n">
        <v>2</v>
      </c>
      <c r="J19" s="26" t="n">
        <v>2</v>
      </c>
      <c r="K19" s="26" t="n">
        <v>2</v>
      </c>
      <c r="L19" s="26" t="n">
        <v>2</v>
      </c>
      <c r="M19" s="26" t="n">
        <v>2</v>
      </c>
      <c r="N19" s="26" t="n">
        <v>2</v>
      </c>
      <c r="O19" s="26" t="n">
        <v>2</v>
      </c>
      <c r="P19" s="26" t="n">
        <v>2</v>
      </c>
      <c r="Q19" s="26" t="n">
        <v>2</v>
      </c>
      <c r="R19" s="26" t="n">
        <v>2</v>
      </c>
      <c r="S19" s="26" t="n">
        <v>2</v>
      </c>
      <c r="T19" s="26" t="n">
        <v>2</v>
      </c>
      <c r="U19" s="26" t="n">
        <v>2</v>
      </c>
      <c r="V19" s="27" t="s">
        <v>97</v>
      </c>
      <c r="W19" s="28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146</v>
      </c>
    </row>
    <row r="2" customFormat="false" ht="15" hidden="false" customHeight="true" outlineLevel="0" collapsed="false">
      <c r="A2" s="37" t="s">
        <v>147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148</v>
      </c>
      <c r="B5" s="25" t="s">
        <v>96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 t="n">
        <v>1.8</v>
      </c>
      <c r="R5" s="26"/>
      <c r="S5" s="26"/>
      <c r="T5" s="26"/>
      <c r="U5" s="26"/>
      <c r="V5" s="27" t="s">
        <v>97</v>
      </c>
      <c r="W5" s="28" t="s">
        <v>149</v>
      </c>
    </row>
    <row r="6" customFormat="false" ht="15" hidden="false" customHeight="true" outlineLevel="0" collapsed="false">
      <c r="A6" s="29" t="s">
        <v>150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7" t="s">
        <v>97</v>
      </c>
      <c r="W6" s="28" t="s">
        <v>151</v>
      </c>
    </row>
    <row r="7" customFormat="false" ht="15" hidden="false" customHeight="true" outlineLevel="0" collapsed="false">
      <c r="A7" s="24" t="s">
        <v>152</v>
      </c>
      <c r="B7" s="25" t="s">
        <v>96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 t="n">
        <v>9.2</v>
      </c>
      <c r="R7" s="26"/>
      <c r="S7" s="26"/>
      <c r="T7" s="26"/>
      <c r="U7" s="26"/>
      <c r="V7" s="27" t="s">
        <v>97</v>
      </c>
      <c r="W7" s="28" t="s">
        <v>153</v>
      </c>
    </row>
    <row r="8" customFormat="false" ht="15" hidden="false" customHeight="true" outlineLevel="0" collapsed="false">
      <c r="A8" s="29" t="s">
        <v>154</v>
      </c>
      <c r="B8" s="25" t="s">
        <v>96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 t="s">
        <v>122</v>
      </c>
      <c r="W8" s="28" t="s">
        <v>155</v>
      </c>
    </row>
    <row r="9" customFormat="false" ht="15" hidden="false" customHeight="true" outlineLevel="0" collapsed="false">
      <c r="A9" s="24" t="s">
        <v>156</v>
      </c>
      <c r="B9" s="25" t="s">
        <v>96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 t="s">
        <v>122</v>
      </c>
      <c r="W9" s="28" t="s">
        <v>155</v>
      </c>
    </row>
    <row r="10" customFormat="false" ht="15" hidden="false" customHeight="true" outlineLevel="0" collapsed="false">
      <c r="A10" s="29" t="s">
        <v>157</v>
      </c>
      <c r="B10" s="25" t="s">
        <v>96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 t="s">
        <v>122</v>
      </c>
      <c r="W10" s="28" t="s">
        <v>155</v>
      </c>
    </row>
    <row r="11" customFormat="false" ht="15" hidden="false" customHeight="true" outlineLevel="0" collapsed="false">
      <c r="A11" s="24" t="s">
        <v>158</v>
      </c>
      <c r="B11" s="25" t="s">
        <v>96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 t="s">
        <v>122</v>
      </c>
      <c r="W11" s="28" t="s">
        <v>155</v>
      </c>
    </row>
    <row r="12" customFormat="false" ht="15" hidden="false" customHeight="true" outlineLevel="0" collapsed="false">
      <c r="A12" s="29" t="s">
        <v>159</v>
      </c>
      <c r="B12" s="25" t="s">
        <v>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 t="s">
        <v>122</v>
      </c>
      <c r="W12" s="28" t="s">
        <v>155</v>
      </c>
    </row>
    <row r="13" customFormat="false" ht="15" hidden="false" customHeight="true" outlineLevel="0" collapsed="false">
      <c r="A13" s="24" t="s">
        <v>160</v>
      </c>
      <c r="B13" s="25" t="s">
        <v>96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122</v>
      </c>
      <c r="W13" s="28" t="s">
        <v>155</v>
      </c>
    </row>
    <row r="14" customFormat="false" ht="15" hidden="false" customHeight="true" outlineLevel="0" collapsed="false">
      <c r="A14" s="29" t="s">
        <v>161</v>
      </c>
      <c r="B14" s="25" t="s">
        <v>162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 t="n">
        <v>99.2</v>
      </c>
      <c r="S14" s="26" t="n">
        <v>106.1</v>
      </c>
      <c r="T14" s="26" t="n">
        <v>106.6</v>
      </c>
      <c r="U14" s="26"/>
      <c r="V14" s="27" t="s">
        <v>97</v>
      </c>
      <c r="W14" s="28" t="s">
        <v>163</v>
      </c>
    </row>
    <row r="15" customFormat="false" ht="15" hidden="false" customHeight="true" outlineLevel="0" collapsed="false">
      <c r="A15" s="24" t="s">
        <v>164</v>
      </c>
      <c r="B15" s="25" t="s">
        <v>162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 t="n">
        <v>126</v>
      </c>
      <c r="U15" s="26"/>
      <c r="V15" s="27" t="s">
        <v>97</v>
      </c>
      <c r="W15" s="28" t="s">
        <v>130</v>
      </c>
    </row>
    <row r="16" customFormat="false" ht="15" hidden="false" customHeight="true" outlineLevel="0" collapsed="false">
      <c r="A16" s="29" t="s">
        <v>165</v>
      </c>
      <c r="B16" s="25" t="s">
        <v>162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 t="s">
        <v>97</v>
      </c>
      <c r="W16" s="28" t="s">
        <v>130</v>
      </c>
    </row>
    <row r="17" customFormat="false" ht="15" hidden="false" customHeight="true" outlineLevel="0" collapsed="false">
      <c r="A17" s="24" t="s">
        <v>166</v>
      </c>
      <c r="B17" s="25" t="s">
        <v>162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7" t="s">
        <v>97</v>
      </c>
      <c r="W17" s="28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168</v>
      </c>
    </row>
    <row r="2" customFormat="false" ht="15" hidden="false" customHeight="true" outlineLevel="0" collapsed="false">
      <c r="A2" s="12" t="s">
        <v>169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170</v>
      </c>
      <c r="B5" s="31" t="s">
        <v>171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 t="n">
        <v>-4</v>
      </c>
      <c r="T5" s="26"/>
      <c r="U5" s="26"/>
      <c r="V5" s="27" t="s">
        <v>122</v>
      </c>
      <c r="W5" s="28" t="s">
        <v>172</v>
      </c>
    </row>
    <row r="6" customFormat="false" ht="15" hidden="false" customHeight="true" outlineLevel="0" collapsed="false">
      <c r="A6" s="29" t="s">
        <v>173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7" t="s">
        <v>122</v>
      </c>
      <c r="W6" s="28" t="s">
        <v>111</v>
      </c>
    </row>
    <row r="7" customFormat="false" ht="15" hidden="false" customHeight="true" outlineLevel="0" collapsed="false">
      <c r="A7" s="24" t="s">
        <v>174</v>
      </c>
      <c r="B7" s="25" t="s">
        <v>96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7" t="s">
        <v>122</v>
      </c>
      <c r="W7" s="28" t="s">
        <v>111</v>
      </c>
    </row>
    <row r="8" customFormat="false" ht="15" hidden="false" customHeight="true" outlineLevel="0" collapsed="false">
      <c r="A8" s="29" t="s">
        <v>175</v>
      </c>
      <c r="B8" s="31" t="s">
        <v>171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 t="n">
        <v>-25.5</v>
      </c>
      <c r="T8" s="26"/>
      <c r="U8" s="26"/>
      <c r="V8" s="27" t="s">
        <v>122</v>
      </c>
      <c r="W8" s="28" t="s">
        <v>111</v>
      </c>
    </row>
    <row r="9" customFormat="false" ht="15" hidden="false" customHeight="true" outlineLevel="0" collapsed="false">
      <c r="A9" s="24" t="s">
        <v>176</v>
      </c>
      <c r="B9" s="25" t="s">
        <v>96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 t="n">
        <v>43.8</v>
      </c>
      <c r="T9" s="26"/>
      <c r="U9" s="26"/>
      <c r="V9" s="27" t="s">
        <v>122</v>
      </c>
      <c r="W9" s="28" t="s">
        <v>111</v>
      </c>
    </row>
    <row r="10" customFormat="false" ht="15" hidden="false" customHeight="true" outlineLevel="0" collapsed="false">
      <c r="A10" s="29" t="s">
        <v>177</v>
      </c>
      <c r="B10" s="25" t="s">
        <v>96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 t="n">
        <v>7.2</v>
      </c>
      <c r="T10" s="26"/>
      <c r="U10" s="26"/>
      <c r="V10" s="27" t="s">
        <v>122</v>
      </c>
      <c r="W10" s="28" t="s">
        <v>111</v>
      </c>
    </row>
    <row r="11" customFormat="false" ht="15" hidden="false" customHeight="true" outlineLevel="0" collapsed="false">
      <c r="A11" s="24" t="s">
        <v>178</v>
      </c>
      <c r="B11" s="31" t="s">
        <v>171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 t="n">
        <v>-14</v>
      </c>
      <c r="T11" s="26"/>
      <c r="U11" s="26"/>
      <c r="V11" s="27" t="s">
        <v>122</v>
      </c>
      <c r="W11" s="28" t="s">
        <v>111</v>
      </c>
    </row>
    <row r="12" customFormat="false" ht="15" hidden="false" customHeight="true" outlineLevel="0" collapsed="false">
      <c r="A12" s="29" t="s">
        <v>179</v>
      </c>
      <c r="B12" s="31" t="s">
        <v>171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 t="s">
        <v>122</v>
      </c>
      <c r="W12" s="28" t="s">
        <v>111</v>
      </c>
    </row>
    <row r="13" customFormat="false" ht="15" hidden="false" customHeight="true" outlineLevel="0" collapsed="false">
      <c r="A13" s="24" t="s">
        <v>180</v>
      </c>
      <c r="B13" s="25" t="s">
        <v>96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181</v>
      </c>
      <c r="W13" s="28" t="s">
        <v>182</v>
      </c>
    </row>
    <row r="14" customFormat="false" ht="15" hidden="false" customHeight="false" outlineLevel="0" collapsed="false">
      <c r="A14" s="24" t="s">
        <v>183</v>
      </c>
      <c r="B14" s="25" t="s">
        <v>96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 t="n">
        <v>3.4</v>
      </c>
      <c r="R14" s="26"/>
      <c r="S14" s="26"/>
      <c r="T14" s="26"/>
      <c r="U14" s="26"/>
      <c r="V14" s="34" t="s">
        <v>181</v>
      </c>
      <c r="W14" s="26" t="s">
        <v>184</v>
      </c>
    </row>
    <row r="15" customFormat="false" ht="15" hidden="false" customHeight="false" outlineLevel="0" collapsed="false">
      <c r="A15" s="24" t="s">
        <v>185</v>
      </c>
      <c r="B15" s="25" t="s">
        <v>96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 t="n">
        <v>60.6</v>
      </c>
      <c r="R15" s="26"/>
      <c r="S15" s="26"/>
      <c r="T15" s="26"/>
      <c r="U15" s="26"/>
      <c r="V15" s="34" t="s">
        <v>181</v>
      </c>
      <c r="W15" s="26" t="s">
        <v>186</v>
      </c>
    </row>
    <row r="16" customFormat="false" ht="15" hidden="false" customHeight="false" outlineLevel="0" collapsed="false">
      <c r="A16" s="24" t="s">
        <v>187</v>
      </c>
      <c r="B16" s="25" t="s">
        <v>96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 t="n">
        <v>2.1</v>
      </c>
      <c r="R16" s="26"/>
      <c r="S16" s="26"/>
      <c r="T16" s="26"/>
      <c r="U16" s="26"/>
      <c r="V16" s="34" t="s">
        <v>181</v>
      </c>
      <c r="W16" s="26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189</v>
      </c>
    </row>
    <row r="2" customFormat="false" ht="15" hidden="false" customHeight="true" outlineLevel="0" collapsed="false">
      <c r="A2" s="12" t="s">
        <v>190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191</v>
      </c>
      <c r="B5" s="25" t="s">
        <v>96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7" t="s">
        <v>192</v>
      </c>
      <c r="W5" s="28" t="s">
        <v>193</v>
      </c>
    </row>
    <row r="6" customFormat="false" ht="15" hidden="false" customHeight="true" outlineLevel="0" collapsed="false">
      <c r="A6" s="29" t="s">
        <v>194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7" t="s">
        <v>192</v>
      </c>
      <c r="W6" s="28" t="s">
        <v>193</v>
      </c>
    </row>
    <row r="7" customFormat="false" ht="15" hidden="false" customHeight="true" outlineLevel="0" collapsed="false">
      <c r="A7" s="24" t="s">
        <v>195</v>
      </c>
      <c r="B7" s="31" t="s">
        <v>196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7" t="s">
        <v>97</v>
      </c>
      <c r="W7" s="28" t="s">
        <v>197</v>
      </c>
    </row>
    <row r="8" customFormat="false" ht="15" hidden="false" customHeight="true" outlineLevel="0" collapsed="false">
      <c r="A8" s="29" t="s">
        <v>198</v>
      </c>
      <c r="B8" s="31" t="s">
        <v>196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 t="s">
        <v>97</v>
      </c>
      <c r="W8" s="28" t="s">
        <v>199</v>
      </c>
    </row>
    <row r="9" customFormat="false" ht="15" hidden="false" customHeight="true" outlineLevel="0" collapsed="false">
      <c r="A9" s="24" t="s">
        <v>200</v>
      </c>
      <c r="B9" s="31" t="s">
        <v>196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 t="s">
        <v>97</v>
      </c>
      <c r="W9" s="28" t="s">
        <v>199</v>
      </c>
    </row>
    <row r="10" customFormat="false" ht="15" hidden="false" customHeight="true" outlineLevel="0" collapsed="false">
      <c r="A10" s="29" t="s">
        <v>201</v>
      </c>
      <c r="B10" s="25" t="s">
        <v>96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 t="s">
        <v>192</v>
      </c>
      <c r="W10" s="28" t="s">
        <v>202</v>
      </c>
    </row>
    <row r="11" customFormat="false" ht="15" hidden="false" customHeight="true" outlineLevel="0" collapsed="false">
      <c r="A11" s="24" t="s">
        <v>203</v>
      </c>
      <c r="B11" s="25" t="s">
        <v>96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 t="s">
        <v>192</v>
      </c>
      <c r="W11" s="28" t="s">
        <v>202</v>
      </c>
    </row>
    <row r="12" customFormat="false" ht="15" hidden="false" customHeight="true" outlineLevel="0" collapsed="false">
      <c r="A12" s="29" t="s">
        <v>204</v>
      </c>
      <c r="B12" s="25" t="s">
        <v>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 t="s">
        <v>192</v>
      </c>
      <c r="W12" s="28" t="s">
        <v>202</v>
      </c>
    </row>
    <row r="13" customFormat="false" ht="15" hidden="false" customHeight="true" outlineLevel="0" collapsed="false">
      <c r="A13" s="24" t="s">
        <v>205</v>
      </c>
      <c r="B13" s="25" t="s">
        <v>96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192</v>
      </c>
      <c r="W13" s="28" t="s">
        <v>202</v>
      </c>
    </row>
    <row r="14" customFormat="false" ht="15" hidden="false" customHeight="true" outlineLevel="0" collapsed="false">
      <c r="A14" s="29" t="s">
        <v>206</v>
      </c>
      <c r="B14" s="25" t="s">
        <v>162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30" t="s">
        <v>207</v>
      </c>
      <c r="W14" s="28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209</v>
      </c>
    </row>
    <row r="2" customFormat="false" ht="15" hidden="false" customHeight="true" outlineLevel="0" collapsed="false">
      <c r="A2" s="12" t="s">
        <v>210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211</v>
      </c>
      <c r="B5" s="25" t="s">
        <v>96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7" t="s">
        <v>212</v>
      </c>
      <c r="W5" s="28" t="s">
        <v>108</v>
      </c>
    </row>
    <row r="6" customFormat="false" ht="15" hidden="false" customHeight="true" outlineLevel="0" collapsed="false">
      <c r="A6" s="29" t="s">
        <v>213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7" t="s">
        <v>212</v>
      </c>
      <c r="W6" s="28" t="s">
        <v>108</v>
      </c>
    </row>
    <row r="7" customFormat="false" ht="15" hidden="false" customHeight="true" outlineLevel="0" collapsed="false">
      <c r="A7" s="24" t="s">
        <v>214</v>
      </c>
      <c r="B7" s="25" t="s">
        <v>103</v>
      </c>
      <c r="C7" s="20" t="str">
        <f aca="false">IF(AND(ISNUMBER(C6),ISNUMBER(C5)),C6-C5,"")</f>
        <v/>
      </c>
      <c r="D7" s="20" t="str">
        <f aca="false">IF(AND(ISNUMBER(D6),ISNUMBER(D5)),D6-D5,"")</f>
        <v/>
      </c>
      <c r="E7" s="20" t="str">
        <f aca="false">IF(AND(ISNUMBER(E6),ISNUMBER(E5)),E6-E5,"")</f>
        <v/>
      </c>
      <c r="F7" s="20" t="str">
        <f aca="false">IF(AND(ISNUMBER(F6),ISNUMBER(F5)),F6-F5,"")</f>
        <v/>
      </c>
      <c r="G7" s="20" t="str">
        <f aca="false">IF(AND(ISNUMBER(G6),ISNUMBER(G5)),G6-G5,"")</f>
        <v/>
      </c>
      <c r="H7" s="20" t="str">
        <f aca="false">IF(AND(ISNUMBER(H6),ISNUMBER(H5)),H6-H5,"")</f>
        <v/>
      </c>
      <c r="I7" s="20" t="str">
        <f aca="false">IF(AND(ISNUMBER(I6),ISNUMBER(I5)),I6-I5,"")</f>
        <v/>
      </c>
      <c r="J7" s="20" t="str">
        <f aca="false">IF(AND(ISNUMBER(J6),ISNUMBER(J5)),J6-J5,"")</f>
        <v/>
      </c>
      <c r="K7" s="20" t="str">
        <f aca="false">IF(AND(ISNUMBER(K6),ISNUMBER(K5)),K6-K5,"")</f>
        <v/>
      </c>
      <c r="L7" s="20" t="str">
        <f aca="false">IF(AND(ISNUMBER(L6),ISNUMBER(L5)),L6-L5,"")</f>
        <v/>
      </c>
      <c r="M7" s="20" t="str">
        <f aca="false">IF(AND(ISNUMBER(M6),ISNUMBER(M5)),M6-M5,"")</f>
        <v/>
      </c>
      <c r="N7" s="20" t="str">
        <f aca="false">IF(AND(ISNUMBER(N6),ISNUMBER(N5)),N6-N5,"")</f>
        <v/>
      </c>
      <c r="O7" s="20" t="str">
        <f aca="false">IF(AND(ISNUMBER(O6),ISNUMBER(O5)),O6-O5,"")</f>
        <v/>
      </c>
      <c r="P7" s="20" t="str">
        <f aca="false">IF(AND(ISNUMBER(P6),ISNUMBER(P5)),P6-P5,"")</f>
        <v/>
      </c>
      <c r="Q7" s="20" t="str">
        <f aca="false">IF(AND(ISNUMBER(Q6),ISNUMBER(Q5)),Q6-Q5,"")</f>
        <v/>
      </c>
      <c r="R7" s="20" t="str">
        <f aca="false">IF(AND(ISNUMBER(R6),ISNUMBER(R5)),R6-R5,"")</f>
        <v/>
      </c>
      <c r="S7" s="20" t="str">
        <f aca="false">IF(AND(ISNUMBER(S6),ISNUMBER(S5)),S6-S5,"")</f>
        <v/>
      </c>
      <c r="T7" s="20" t="str">
        <f aca="false">IF(AND(ISNUMBER(T6),ISNUMBER(T5)),T6-T5,"")</f>
        <v/>
      </c>
      <c r="U7" s="20" t="str">
        <f aca="false">IF(AND(ISNUMBER(U6),ISNUMBER(U5)),U6-U5,"")</f>
        <v/>
      </c>
      <c r="V7" s="27" t="s">
        <v>104</v>
      </c>
      <c r="W7" s="28" t="s">
        <v>105</v>
      </c>
    </row>
    <row r="8" customFormat="false" ht="15" hidden="false" customHeight="true" outlineLevel="0" collapsed="false">
      <c r="A8" s="24" t="s">
        <v>215</v>
      </c>
      <c r="B8" s="25" t="s">
        <v>103</v>
      </c>
      <c r="C8" s="20" t="str">
        <f aca="false">IF(AND(ISNUMBER(C5),ISNUMBER('02.기준금리·통화'!C5)),C5-'02.기준금리·통화'!C5,"")</f>
        <v/>
      </c>
      <c r="D8" s="20" t="str">
        <f aca="false">IF(AND(ISNUMBER(D5),ISNUMBER('02.기준금리·통화'!D5)),D5-'02.기준금리·통화'!D5,"")</f>
        <v/>
      </c>
      <c r="E8" s="20" t="str">
        <f aca="false">IF(AND(ISNUMBER(E5),ISNUMBER('02.기준금리·통화'!E5)),E5-'02.기준금리·통화'!E5,"")</f>
        <v/>
      </c>
      <c r="F8" s="20" t="str">
        <f aca="false">IF(AND(ISNUMBER(F5),ISNUMBER('02.기준금리·통화'!F5)),F5-'02.기준금리·통화'!F5,"")</f>
        <v/>
      </c>
      <c r="G8" s="20" t="str">
        <f aca="false">IF(AND(ISNUMBER(G5),ISNUMBER('02.기준금리·통화'!G5)),G5-'02.기준금리·통화'!G5,"")</f>
        <v/>
      </c>
      <c r="H8" s="20" t="str">
        <f aca="false">IF(AND(ISNUMBER(H5),ISNUMBER('02.기준금리·통화'!H5)),H5-'02.기준금리·통화'!H5,"")</f>
        <v/>
      </c>
      <c r="I8" s="20" t="str">
        <f aca="false">IF(AND(ISNUMBER(I5),ISNUMBER('02.기준금리·통화'!I5)),I5-'02.기준금리·통화'!I5,"")</f>
        <v/>
      </c>
      <c r="J8" s="20" t="str">
        <f aca="false">IF(AND(ISNUMBER(J5),ISNUMBER('02.기준금리·통화'!J5)),J5-'02.기준금리·통화'!J5,"")</f>
        <v/>
      </c>
      <c r="K8" s="20" t="str">
        <f aca="false">IF(AND(ISNUMBER(K5),ISNUMBER('02.기준금리·통화'!K5)),K5-'02.기준금리·통화'!K5,"")</f>
        <v/>
      </c>
      <c r="L8" s="20" t="str">
        <f aca="false">IF(AND(ISNUMBER(L5),ISNUMBER('02.기준금리·통화'!L5)),L5-'02.기준금리·통화'!L5,"")</f>
        <v/>
      </c>
      <c r="M8" s="20" t="str">
        <f aca="false">IF(AND(ISNUMBER(M5),ISNUMBER('02.기준금리·통화'!M5)),M5-'02.기준금리·통화'!M5,"")</f>
        <v/>
      </c>
      <c r="N8" s="20" t="str">
        <f aca="false">IF(AND(ISNUMBER(N5),ISNUMBER('02.기준금리·통화'!N5)),N5-'02.기준금리·통화'!N5,"")</f>
        <v/>
      </c>
      <c r="O8" s="20" t="str">
        <f aca="false">IF(AND(ISNUMBER(O5),ISNUMBER('02.기준금리·통화'!O5)),O5-'02.기준금리·통화'!O5,"")</f>
        <v/>
      </c>
      <c r="P8" s="20" t="str">
        <f aca="false">IF(AND(ISNUMBER(P5),ISNUMBER('02.기준금리·통화'!P5)),P5-'02.기준금리·통화'!P5,"")</f>
        <v/>
      </c>
      <c r="Q8" s="20" t="str">
        <f aca="false">IF(AND(ISNUMBER(Q5),ISNUMBER('02.기준금리·통화'!Q5)),Q5-'02.기준금리·통화'!Q5,"")</f>
        <v/>
      </c>
      <c r="R8" s="20" t="str">
        <f aca="false">IF(AND(ISNUMBER(R5),ISNUMBER('02.기준금리·통화'!R5)),R5-'02.기준금리·통화'!R5,"")</f>
        <v/>
      </c>
      <c r="S8" s="20" t="str">
        <f aca="false">IF(AND(ISNUMBER(S5),ISNUMBER('02.기준금리·통화'!S5)),S5-'02.기준금리·통화'!S5,"")</f>
        <v/>
      </c>
      <c r="T8" s="20" t="str">
        <f aca="false">IF(AND(ISNUMBER(T5),ISNUMBER('02.기준금리·통화'!T5)),T5-'02.기준금리·통화'!T5,"")</f>
        <v/>
      </c>
      <c r="U8" s="20" t="str">
        <f aca="false">IF(AND(ISNUMBER(U5),ISNUMBER('02.기준금리·통화'!U5)),U5-'02.기준금리·통화'!U5,"")</f>
        <v/>
      </c>
      <c r="V8" s="34" t="s">
        <v>104</v>
      </c>
      <c r="W8" s="26" t="s">
        <v>216</v>
      </c>
    </row>
    <row r="9" customFormat="false" ht="15" hidden="false" customHeight="true" outlineLevel="0" collapsed="false">
      <c r="A9" s="29" t="s">
        <v>217</v>
      </c>
      <c r="B9" s="25" t="s">
        <v>96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 t="s">
        <v>212</v>
      </c>
      <c r="W9" s="28" t="s">
        <v>108</v>
      </c>
    </row>
    <row r="10" customFormat="false" ht="15" hidden="false" customHeight="true" outlineLevel="0" collapsed="false">
      <c r="A10" s="24" t="s">
        <v>218</v>
      </c>
      <c r="B10" s="25" t="s">
        <v>103</v>
      </c>
      <c r="C10" s="20" t="str">
        <f aca="false">IF(AND(ISNUMBER(C8),ISNUMBER(C5)),C8-C5,"")</f>
        <v/>
      </c>
      <c r="D10" s="20" t="str">
        <f aca="false">IF(AND(ISNUMBER(D8),ISNUMBER(D5)),D8-D5,"")</f>
        <v/>
      </c>
      <c r="E10" s="20" t="str">
        <f aca="false">IF(AND(ISNUMBER(E8),ISNUMBER(E5)),E8-E5,"")</f>
        <v/>
      </c>
      <c r="F10" s="20" t="str">
        <f aca="false">IF(AND(ISNUMBER(F8),ISNUMBER(F5)),F8-F5,"")</f>
        <v/>
      </c>
      <c r="G10" s="20" t="str">
        <f aca="false">IF(AND(ISNUMBER(G8),ISNUMBER(G5)),G8-G5,"")</f>
        <v/>
      </c>
      <c r="H10" s="20" t="str">
        <f aca="false">IF(AND(ISNUMBER(H8),ISNUMBER(H5)),H8-H5,"")</f>
        <v/>
      </c>
      <c r="I10" s="20" t="str">
        <f aca="false">IF(AND(ISNUMBER(I8),ISNUMBER(I5)),I8-I5,"")</f>
        <v/>
      </c>
      <c r="J10" s="20" t="str">
        <f aca="false">IF(AND(ISNUMBER(J8),ISNUMBER(J5)),J8-J5,"")</f>
        <v/>
      </c>
      <c r="K10" s="20" t="str">
        <f aca="false">IF(AND(ISNUMBER(K8),ISNUMBER(K5)),K8-K5,"")</f>
        <v/>
      </c>
      <c r="L10" s="20" t="str">
        <f aca="false">IF(AND(ISNUMBER(L8),ISNUMBER(L5)),L8-L5,"")</f>
        <v/>
      </c>
      <c r="M10" s="20" t="str">
        <f aca="false">IF(AND(ISNUMBER(M8),ISNUMBER(M5)),M8-M5,"")</f>
        <v/>
      </c>
      <c r="N10" s="20" t="str">
        <f aca="false">IF(AND(ISNUMBER(N8),ISNUMBER(N5)),N8-N5,"")</f>
        <v/>
      </c>
      <c r="O10" s="20" t="str">
        <f aca="false">IF(AND(ISNUMBER(O8),ISNUMBER(O5)),O8-O5,"")</f>
        <v/>
      </c>
      <c r="P10" s="20" t="str">
        <f aca="false">IF(AND(ISNUMBER(P8),ISNUMBER(P5)),P8-P5,"")</f>
        <v/>
      </c>
      <c r="Q10" s="20" t="str">
        <f aca="false">IF(AND(ISNUMBER(Q8),ISNUMBER(Q5)),Q8-Q5,"")</f>
        <v/>
      </c>
      <c r="R10" s="20" t="str">
        <f aca="false">IF(AND(ISNUMBER(R8),ISNUMBER(R5)),R8-R5,"")</f>
        <v/>
      </c>
      <c r="S10" s="20" t="str">
        <f aca="false">IF(AND(ISNUMBER(S8),ISNUMBER(S5)),S8-S5,"")</f>
        <v/>
      </c>
      <c r="T10" s="20" t="str">
        <f aca="false">IF(AND(ISNUMBER(T8),ISNUMBER(T5)),T8-T5,"")</f>
        <v/>
      </c>
      <c r="U10" s="20" t="str">
        <f aca="false">IF(AND(ISNUMBER(U8),ISNUMBER(U5)),U8-U5,"")</f>
        <v/>
      </c>
      <c r="V10" s="27" t="s">
        <v>104</v>
      </c>
      <c r="W10" s="28" t="s">
        <v>105</v>
      </c>
    </row>
    <row r="11" customFormat="false" ht="15" hidden="false" customHeight="true" outlineLevel="0" collapsed="false">
      <c r="A11" s="32" t="s">
        <v>219</v>
      </c>
      <c r="B11" s="25" t="s">
        <v>96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 t="s">
        <v>212</v>
      </c>
      <c r="W11" s="28" t="s">
        <v>108</v>
      </c>
    </row>
    <row r="12" customFormat="false" ht="15" hidden="false" customHeight="true" outlineLevel="0" collapsed="false">
      <c r="A12" s="33" t="s">
        <v>220</v>
      </c>
      <c r="B12" s="25" t="s">
        <v>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 t="s">
        <v>212</v>
      </c>
      <c r="W12" s="28" t="s">
        <v>108</v>
      </c>
    </row>
    <row r="13" customFormat="false" ht="15" hidden="false" customHeight="true" outlineLevel="0" collapsed="false">
      <c r="A13" s="29" t="s">
        <v>221</v>
      </c>
      <c r="B13" s="25" t="s">
        <v>162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222</v>
      </c>
      <c r="W13" s="28" t="s">
        <v>223</v>
      </c>
    </row>
    <row r="14" customFormat="false" ht="15" hidden="false" customHeight="true" outlineLevel="0" collapsed="false">
      <c r="A14" s="24" t="s">
        <v>224</v>
      </c>
      <c r="B14" s="25" t="s">
        <v>162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 t="s">
        <v>222</v>
      </c>
      <c r="W14" s="28" t="s">
        <v>223</v>
      </c>
    </row>
    <row r="15" customFormat="false" ht="15" hidden="false" customHeight="true" outlineLevel="0" collapsed="false">
      <c r="A15" s="29" t="s">
        <v>225</v>
      </c>
      <c r="B15" s="31" t="s">
        <v>110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 t="s">
        <v>226</v>
      </c>
      <c r="W15" s="28" t="s">
        <v>227</v>
      </c>
    </row>
    <row r="16" customFormat="false" ht="15" hidden="false" customHeight="true" outlineLevel="0" collapsed="false">
      <c r="A16" s="24" t="s">
        <v>228</v>
      </c>
      <c r="B16" s="31" t="s">
        <v>110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 t="s">
        <v>226</v>
      </c>
      <c r="W16" s="28" t="s">
        <v>229</v>
      </c>
    </row>
    <row r="17" customFormat="false" ht="15" hidden="false" customHeight="true" outlineLevel="0" collapsed="false">
      <c r="A17" s="24" t="s">
        <v>230</v>
      </c>
      <c r="B17" s="31" t="s">
        <v>110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 t="n">
        <v>720</v>
      </c>
      <c r="T17" s="26"/>
      <c r="U17" s="26"/>
      <c r="V17" s="34" t="s">
        <v>231</v>
      </c>
      <c r="W17" s="26" t="s">
        <v>232</v>
      </c>
    </row>
    <row r="18" customFormat="false" ht="15" hidden="false" customHeight="true" outlineLevel="0" collapsed="false">
      <c r="A18" s="29" t="s">
        <v>233</v>
      </c>
      <c r="B18" s="31" t="s">
        <v>234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 t="n">
        <v>1530</v>
      </c>
      <c r="R18" s="26"/>
      <c r="S18" s="26"/>
      <c r="T18" s="26"/>
      <c r="U18" s="26"/>
      <c r="V18" s="27" t="s">
        <v>97</v>
      </c>
      <c r="W18" s="28" t="s">
        <v>223</v>
      </c>
    </row>
    <row r="19" customFormat="false" ht="15" hidden="false" customHeight="false" outlineLevel="0" collapsed="false">
      <c r="A19" s="24" t="s">
        <v>235</v>
      </c>
      <c r="B19" s="31" t="s">
        <v>234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7" t="s">
        <v>97</v>
      </c>
      <c r="W19" s="28" t="s">
        <v>223</v>
      </c>
    </row>
    <row r="20" customFormat="false" ht="15" hidden="false" customHeight="false" outlineLevel="0" collapsed="false">
      <c r="A20" s="29" t="s">
        <v>236</v>
      </c>
      <c r="B20" s="31" t="s">
        <v>234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7" t="s">
        <v>97</v>
      </c>
      <c r="W20" s="28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0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10" min="10" style="1" width="40"/>
  </cols>
  <sheetData>
    <row r="1" customFormat="false" ht="22.5" hidden="false" customHeight="true" outlineLevel="0" collapsed="false">
      <c r="A1" s="11" t="s">
        <v>237</v>
      </c>
    </row>
    <row r="2" customFormat="false" ht="15" hidden="false" customHeight="true" outlineLevel="0" collapsed="false">
      <c r="A2" s="12" t="s">
        <v>238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239</v>
      </c>
      <c r="D4" s="23" t="s">
        <v>240</v>
      </c>
      <c r="E4" s="23" t="s">
        <v>241</v>
      </c>
      <c r="F4" s="23" t="s">
        <v>242</v>
      </c>
      <c r="G4" s="23" t="s">
        <v>243</v>
      </c>
      <c r="H4" s="23" t="s">
        <v>244</v>
      </c>
      <c r="I4" s="22" t="s">
        <v>93</v>
      </c>
      <c r="J4" s="22" t="s">
        <v>94</v>
      </c>
    </row>
    <row r="5" customFormat="false" ht="15" hidden="false" customHeight="true" outlineLevel="0" collapsed="false">
      <c r="A5" s="24" t="s">
        <v>245</v>
      </c>
      <c r="B5" s="31" t="s">
        <v>110</v>
      </c>
      <c r="C5" s="26"/>
      <c r="D5" s="26"/>
      <c r="E5" s="26"/>
      <c r="F5" s="26"/>
      <c r="G5" s="26" t="n">
        <v>1993.1</v>
      </c>
      <c r="H5" s="26"/>
      <c r="I5" s="27" t="s">
        <v>97</v>
      </c>
      <c r="J5" s="28" t="s">
        <v>246</v>
      </c>
    </row>
    <row r="6" customFormat="false" ht="15" hidden="false" customHeight="true" outlineLevel="0" collapsed="false">
      <c r="A6" s="29" t="s">
        <v>247</v>
      </c>
      <c r="B6" s="31" t="s">
        <v>110</v>
      </c>
      <c r="C6" s="26"/>
      <c r="D6" s="26"/>
      <c r="E6" s="26"/>
      <c r="F6" s="26"/>
      <c r="G6" s="26" t="n">
        <v>14</v>
      </c>
      <c r="H6" s="26"/>
      <c r="I6" s="27" t="s">
        <v>97</v>
      </c>
      <c r="J6" s="28" t="s">
        <v>248</v>
      </c>
    </row>
    <row r="7" customFormat="false" ht="15" hidden="false" customHeight="true" outlineLevel="0" collapsed="false">
      <c r="A7" s="24" t="s">
        <v>249</v>
      </c>
      <c r="B7" s="25" t="s">
        <v>96</v>
      </c>
      <c r="C7" s="26"/>
      <c r="D7" s="26"/>
      <c r="E7" s="26"/>
      <c r="F7" s="26"/>
      <c r="G7" s="26"/>
      <c r="H7" s="26"/>
      <c r="I7" s="27" t="s">
        <v>97</v>
      </c>
      <c r="J7" s="28" t="s">
        <v>250</v>
      </c>
    </row>
    <row r="8" customFormat="false" ht="15" hidden="false" customHeight="true" outlineLevel="0" collapsed="false">
      <c r="A8" s="29" t="s">
        <v>251</v>
      </c>
      <c r="B8" s="31" t="s">
        <v>110</v>
      </c>
      <c r="C8" s="26"/>
      <c r="D8" s="26"/>
      <c r="E8" s="26"/>
      <c r="F8" s="26"/>
      <c r="G8" s="26"/>
      <c r="H8" s="26"/>
      <c r="I8" s="27" t="s">
        <v>97</v>
      </c>
      <c r="J8" s="28" t="s">
        <v>252</v>
      </c>
    </row>
    <row r="9" customFormat="false" ht="15" hidden="false" customHeight="true" outlineLevel="0" collapsed="false">
      <c r="A9" s="24" t="s">
        <v>253</v>
      </c>
      <c r="B9" s="31" t="s">
        <v>110</v>
      </c>
      <c r="C9" s="26"/>
      <c r="D9" s="26"/>
      <c r="E9" s="26"/>
      <c r="F9" s="26"/>
      <c r="G9" s="26"/>
      <c r="H9" s="26"/>
      <c r="I9" s="27" t="s">
        <v>97</v>
      </c>
      <c r="J9" s="28" t="s">
        <v>111</v>
      </c>
    </row>
    <row r="10" customFormat="false" ht="15" hidden="false" customHeight="true" outlineLevel="0" collapsed="false">
      <c r="A10" s="29" t="s">
        <v>254</v>
      </c>
      <c r="B10" s="25" t="s">
        <v>96</v>
      </c>
      <c r="C10" s="26"/>
      <c r="D10" s="26"/>
      <c r="E10" s="26"/>
      <c r="F10" s="26"/>
      <c r="G10" s="26"/>
      <c r="H10" s="26"/>
      <c r="I10" s="27" t="s">
        <v>97</v>
      </c>
      <c r="J10" s="28" t="s">
        <v>111</v>
      </c>
    </row>
    <row r="11" customFormat="false" ht="15" hidden="false" customHeight="true" outlineLevel="0" collapsed="false">
      <c r="A11" s="24" t="s">
        <v>255</v>
      </c>
      <c r="B11" s="31" t="s">
        <v>110</v>
      </c>
      <c r="C11" s="26"/>
      <c r="D11" s="26"/>
      <c r="E11" s="26"/>
      <c r="F11" s="26"/>
      <c r="G11" s="26"/>
      <c r="H11" s="26"/>
      <c r="I11" s="27" t="s">
        <v>97</v>
      </c>
      <c r="J11" s="28" t="s">
        <v>229</v>
      </c>
    </row>
    <row r="12" customFormat="false" ht="15" hidden="false" customHeight="true" outlineLevel="0" collapsed="false">
      <c r="A12" s="29" t="s">
        <v>256</v>
      </c>
      <c r="B12" s="25" t="s">
        <v>96</v>
      </c>
      <c r="C12" s="26"/>
      <c r="D12" s="26"/>
      <c r="E12" s="26"/>
      <c r="F12" s="26" t="n">
        <v>0.38</v>
      </c>
      <c r="G12" s="26"/>
      <c r="H12" s="26"/>
      <c r="I12" s="27" t="s">
        <v>226</v>
      </c>
      <c r="J12" s="28" t="s">
        <v>257</v>
      </c>
    </row>
    <row r="13" customFormat="false" ht="15" hidden="false" customHeight="true" outlineLevel="0" collapsed="false">
      <c r="A13" s="24" t="s">
        <v>258</v>
      </c>
      <c r="B13" s="25" t="s">
        <v>96</v>
      </c>
      <c r="C13" s="26"/>
      <c r="D13" s="26"/>
      <c r="E13" s="26"/>
      <c r="F13" s="26"/>
      <c r="G13" s="26"/>
      <c r="H13" s="26"/>
      <c r="I13" s="27" t="s">
        <v>226</v>
      </c>
      <c r="J13" s="28" t="s">
        <v>259</v>
      </c>
    </row>
    <row r="14" customFormat="false" ht="15" hidden="false" customHeight="true" outlineLevel="0" collapsed="false">
      <c r="A14" s="29" t="s">
        <v>260</v>
      </c>
      <c r="B14" s="25" t="s">
        <v>96</v>
      </c>
      <c r="C14" s="26"/>
      <c r="D14" s="26"/>
      <c r="E14" s="26"/>
      <c r="F14" s="26"/>
      <c r="G14" s="26"/>
      <c r="H14" s="26"/>
      <c r="I14" s="27" t="s">
        <v>226</v>
      </c>
      <c r="J14" s="28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261</v>
      </c>
    </row>
    <row r="2" customFormat="false" ht="15" hidden="false" customHeight="true" outlineLevel="0" collapsed="false">
      <c r="A2" s="12" t="s">
        <v>262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263</v>
      </c>
      <c r="B5" s="25" t="s">
        <v>96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7" t="s">
        <v>264</v>
      </c>
      <c r="W5" s="28" t="s">
        <v>265</v>
      </c>
    </row>
    <row r="6" customFormat="false" ht="15" hidden="false" customHeight="true" outlineLevel="0" collapsed="false">
      <c r="A6" s="29" t="s">
        <v>266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7" t="s">
        <v>264</v>
      </c>
      <c r="W6" s="28" t="s">
        <v>267</v>
      </c>
    </row>
    <row r="7" customFormat="false" ht="15" hidden="false" customHeight="true" outlineLevel="0" collapsed="false">
      <c r="A7" s="24" t="s">
        <v>268</v>
      </c>
      <c r="B7" s="25" t="s">
        <v>96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7" t="s">
        <v>264</v>
      </c>
      <c r="W7" s="28" t="s">
        <v>111</v>
      </c>
    </row>
    <row r="8" customFormat="false" ht="15" hidden="false" customHeight="true" outlineLevel="0" collapsed="false">
      <c r="A8" s="29" t="s">
        <v>269</v>
      </c>
      <c r="B8" s="31" t="s">
        <v>270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 t="s">
        <v>264</v>
      </c>
      <c r="W8" s="28" t="s">
        <v>271</v>
      </c>
    </row>
    <row r="9" customFormat="false" ht="15" hidden="false" customHeight="true" outlineLevel="0" collapsed="false">
      <c r="A9" s="24" t="s">
        <v>272</v>
      </c>
      <c r="B9" s="25" t="s">
        <v>96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 t="s">
        <v>264</v>
      </c>
      <c r="W9" s="28" t="s">
        <v>111</v>
      </c>
    </row>
    <row r="10" customFormat="false" ht="15" hidden="false" customHeight="true" outlineLevel="0" collapsed="false">
      <c r="A10" s="29" t="s">
        <v>273</v>
      </c>
      <c r="B10" s="25" t="s">
        <v>162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 t="s">
        <v>97</v>
      </c>
      <c r="W10" s="28" t="s">
        <v>274</v>
      </c>
    </row>
    <row r="11" customFormat="false" ht="15" hidden="false" customHeight="true" outlineLevel="0" collapsed="false">
      <c r="A11" s="24" t="s">
        <v>275</v>
      </c>
      <c r="B11" s="25" t="s">
        <v>162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 t="s">
        <v>97</v>
      </c>
      <c r="W11" s="28" t="s">
        <v>276</v>
      </c>
    </row>
    <row r="12" customFormat="false" ht="15" hidden="false" customHeight="true" outlineLevel="0" collapsed="false">
      <c r="A12" s="29" t="s">
        <v>277</v>
      </c>
      <c r="B12" s="31" t="s">
        <v>196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 t="s">
        <v>97</v>
      </c>
      <c r="W12" s="28" t="s">
        <v>278</v>
      </c>
    </row>
    <row r="13" customFormat="false" ht="15" hidden="false" customHeight="true" outlineLevel="0" collapsed="false">
      <c r="A13" s="24" t="s">
        <v>279</v>
      </c>
      <c r="B13" s="25" t="s">
        <v>96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97</v>
      </c>
      <c r="W13" s="28" t="s">
        <v>248</v>
      </c>
    </row>
    <row r="14" customFormat="false" ht="15" hidden="false" customHeight="true" outlineLevel="0" collapsed="false">
      <c r="A14" s="29" t="s">
        <v>280</v>
      </c>
      <c r="B14" s="31" t="s">
        <v>110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 t="n">
        <v>178</v>
      </c>
      <c r="O14" s="26"/>
      <c r="P14" s="26"/>
      <c r="Q14" s="26"/>
      <c r="R14" s="26"/>
      <c r="S14" s="26"/>
      <c r="T14" s="26"/>
      <c r="U14" s="26"/>
      <c r="V14" s="27" t="s">
        <v>281</v>
      </c>
      <c r="W14" s="28" t="s">
        <v>282</v>
      </c>
    </row>
    <row r="15" customFormat="false" ht="15" hidden="false" customHeight="true" outlineLevel="0" collapsed="false">
      <c r="A15" s="24" t="s">
        <v>283</v>
      </c>
      <c r="B15" s="25" t="s">
        <v>96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 t="n">
        <v>4.24</v>
      </c>
      <c r="O15" s="26"/>
      <c r="P15" s="26"/>
      <c r="Q15" s="26"/>
      <c r="R15" s="26"/>
      <c r="S15" s="26"/>
      <c r="T15" s="26"/>
      <c r="U15" s="26"/>
      <c r="V15" s="27" t="s">
        <v>226</v>
      </c>
      <c r="W15" s="28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0"/>
    <col collapsed="false" customWidth="true" hidden="false" outlineLevel="0" max="11" min="11" style="1" width="22"/>
    <col collapsed="false" customWidth="true" hidden="false" outlineLevel="0" max="12" min="12" style="1" width="26"/>
    <col collapsed="false" customWidth="true" hidden="false" outlineLevel="0" max="22" min="22" style="1" width="20"/>
    <col collapsed="false" customWidth="true" hidden="false" outlineLevel="0" max="23" min="23" style="1" width="40"/>
  </cols>
  <sheetData>
    <row r="1" customFormat="false" ht="22.5" hidden="false" customHeight="true" outlineLevel="0" collapsed="false">
      <c r="A1" s="11" t="s">
        <v>284</v>
      </c>
    </row>
    <row r="2" customFormat="false" ht="15" hidden="false" customHeight="true" outlineLevel="0" collapsed="false">
      <c r="A2" s="12" t="s">
        <v>285</v>
      </c>
    </row>
    <row r="4" customFormat="false" ht="15" hidden="false" customHeight="true" outlineLevel="0" collapsed="false">
      <c r="A4" s="22" t="s">
        <v>91</v>
      </c>
      <c r="B4" s="22" t="s">
        <v>92</v>
      </c>
      <c r="C4" s="23" t="s">
        <v>69</v>
      </c>
      <c r="D4" s="23" t="s">
        <v>70</v>
      </c>
      <c r="E4" s="23" t="s">
        <v>71</v>
      </c>
      <c r="F4" s="23" t="s">
        <v>72</v>
      </c>
      <c r="G4" s="23" t="s">
        <v>73</v>
      </c>
      <c r="H4" s="23" t="s">
        <v>74</v>
      </c>
      <c r="I4" s="23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3" t="s">
        <v>80</v>
      </c>
      <c r="O4" s="23" t="s">
        <v>81</v>
      </c>
      <c r="P4" s="23" t="s">
        <v>82</v>
      </c>
      <c r="Q4" s="23" t="s">
        <v>83</v>
      </c>
      <c r="R4" s="23" t="s">
        <v>84</v>
      </c>
      <c r="S4" s="23" t="s">
        <v>85</v>
      </c>
      <c r="T4" s="23" t="s">
        <v>86</v>
      </c>
      <c r="U4" s="23" t="s">
        <v>87</v>
      </c>
      <c r="V4" s="22" t="s">
        <v>93</v>
      </c>
      <c r="W4" s="22" t="s">
        <v>94</v>
      </c>
    </row>
    <row r="5" customFormat="false" ht="15" hidden="false" customHeight="true" outlineLevel="0" collapsed="false">
      <c r="A5" s="24" t="s">
        <v>286</v>
      </c>
      <c r="B5" s="25" t="s">
        <v>96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30" t="s">
        <v>287</v>
      </c>
      <c r="W5" s="28" t="s">
        <v>288</v>
      </c>
    </row>
    <row r="6" customFormat="false" ht="15" hidden="false" customHeight="true" outlineLevel="0" collapsed="false">
      <c r="A6" s="29" t="s">
        <v>289</v>
      </c>
      <c r="B6" s="25" t="s">
        <v>96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7" t="s">
        <v>290</v>
      </c>
      <c r="W6" s="28" t="s">
        <v>291</v>
      </c>
    </row>
    <row r="7" customFormat="false" ht="15" hidden="false" customHeight="true" outlineLevel="0" collapsed="false">
      <c r="A7" s="24" t="s">
        <v>292</v>
      </c>
      <c r="B7" s="25" t="s">
        <v>96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30" t="s">
        <v>293</v>
      </c>
      <c r="W7" s="28" t="s">
        <v>151</v>
      </c>
    </row>
    <row r="8" customFormat="false" ht="15" hidden="false" customHeight="true" outlineLevel="0" collapsed="false">
      <c r="A8" s="29" t="s">
        <v>294</v>
      </c>
      <c r="B8" s="25" t="s">
        <v>96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 t="s">
        <v>295</v>
      </c>
      <c r="W8" s="28" t="s">
        <v>296</v>
      </c>
    </row>
    <row r="9" customFormat="false" ht="15" hidden="false" customHeight="true" outlineLevel="0" collapsed="false">
      <c r="A9" s="24" t="s">
        <v>297</v>
      </c>
      <c r="B9" s="25" t="s">
        <v>96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 t="s">
        <v>298</v>
      </c>
      <c r="W9" s="28" t="s">
        <v>299</v>
      </c>
    </row>
    <row r="10" customFormat="false" ht="15" hidden="false" customHeight="true" outlineLevel="0" collapsed="false">
      <c r="A10" s="29" t="s">
        <v>300</v>
      </c>
      <c r="B10" s="25" t="s">
        <v>96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 t="n">
        <v>3.75</v>
      </c>
      <c r="U10" s="26"/>
      <c r="V10" s="30" t="s">
        <v>100</v>
      </c>
      <c r="W10" s="28" t="s">
        <v>101</v>
      </c>
    </row>
    <row r="11" customFormat="false" ht="15" hidden="false" customHeight="true" outlineLevel="0" collapsed="false">
      <c r="A11" s="24" t="s">
        <v>301</v>
      </c>
      <c r="B11" s="25" t="s">
        <v>96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30" t="s">
        <v>302</v>
      </c>
      <c r="W11" s="28" t="s">
        <v>303</v>
      </c>
    </row>
    <row r="12" customFormat="false" ht="15" hidden="false" customHeight="true" outlineLevel="0" collapsed="false">
      <c r="A12" s="29" t="s">
        <v>304</v>
      </c>
      <c r="B12" s="25" t="s">
        <v>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 t="s">
        <v>305</v>
      </c>
      <c r="W12" s="28" t="s">
        <v>306</v>
      </c>
    </row>
    <row r="13" customFormat="false" ht="15" hidden="false" customHeight="true" outlineLevel="0" collapsed="false">
      <c r="A13" s="24" t="s">
        <v>307</v>
      </c>
      <c r="B13" s="25" t="s">
        <v>96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 t="s">
        <v>290</v>
      </c>
      <c r="W13" s="28" t="s">
        <v>199</v>
      </c>
    </row>
    <row r="14" customFormat="false" ht="15" hidden="false" customHeight="true" outlineLevel="0" collapsed="false">
      <c r="A14" s="29" t="s">
        <v>308</v>
      </c>
      <c r="B14" s="25" t="s">
        <v>309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 t="s">
        <v>310</v>
      </c>
      <c r="W14" s="28" t="s">
        <v>108</v>
      </c>
    </row>
    <row r="15" customFormat="false" ht="15" hidden="false" customHeight="true" outlineLevel="0" collapsed="false">
      <c r="A15" s="24" t="s">
        <v>311</v>
      </c>
      <c r="B15" s="25" t="s">
        <v>309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 t="s">
        <v>312</v>
      </c>
      <c r="W15" s="26" t="s">
        <v>313</v>
      </c>
    </row>
    <row r="16" customFormat="false" ht="15" hidden="false" customHeight="true" outlineLevel="0" collapsed="false">
      <c r="A16" s="33" t="s">
        <v>314</v>
      </c>
      <c r="B16" s="25" t="s">
        <v>309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 t="s">
        <v>310</v>
      </c>
      <c r="W16" s="28" t="s">
        <v>108</v>
      </c>
    </row>
    <row r="17" customFormat="false" ht="15" hidden="false" customHeight="true" outlineLevel="0" collapsed="false">
      <c r="A17" s="29" t="s">
        <v>315</v>
      </c>
      <c r="B17" s="25" t="s">
        <v>162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30" t="s">
        <v>316</v>
      </c>
      <c r="W17" s="28" t="s">
        <v>317</v>
      </c>
    </row>
    <row r="18" customFormat="false" ht="15" hidden="false" customHeight="false" outlineLevel="0" collapsed="false">
      <c r="A18" s="24" t="s">
        <v>318</v>
      </c>
      <c r="B18" s="25" t="s">
        <v>162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30" t="s">
        <v>319</v>
      </c>
      <c r="W18" s="28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4" min="4" style="1" width="26"/>
    <col collapsed="false" customWidth="true" hidden="false" outlineLevel="0" max="5" min="5" style="1" width="20"/>
  </cols>
  <sheetData>
    <row r="1" customFormat="false" ht="22.5" hidden="false" customHeight="true" outlineLevel="0" collapsed="false">
      <c r="A1" s="11" t="s">
        <v>320</v>
      </c>
    </row>
    <row r="3" customFormat="false" ht="15" hidden="false" customHeight="true" outlineLevel="0" collapsed="false">
      <c r="A3" s="14" t="s">
        <v>321</v>
      </c>
      <c r="B3" s="14" t="s">
        <v>322</v>
      </c>
      <c r="C3" s="14" t="s">
        <v>323</v>
      </c>
      <c r="D3" s="38" t="s">
        <v>324</v>
      </c>
      <c r="E3" s="14" t="s">
        <v>325</v>
      </c>
    </row>
    <row r="4" customFormat="false" ht="15" hidden="false" customHeight="true" outlineLevel="0" collapsed="false">
      <c r="A4" s="24" t="s">
        <v>326</v>
      </c>
      <c r="B4" s="39" t="s">
        <v>327</v>
      </c>
      <c r="C4" s="39" t="s">
        <v>328</v>
      </c>
      <c r="D4" s="40" t="s">
        <v>329</v>
      </c>
      <c r="E4" s="40" t="s">
        <v>330</v>
      </c>
    </row>
    <row r="5" customFormat="false" ht="15" hidden="false" customHeight="true" outlineLevel="0" collapsed="false">
      <c r="A5" s="29" t="s">
        <v>331</v>
      </c>
      <c r="B5" s="41" t="s">
        <v>332</v>
      </c>
      <c r="C5" s="41" t="s">
        <v>333</v>
      </c>
      <c r="D5" s="42" t="s">
        <v>334</v>
      </c>
      <c r="E5" s="42"/>
    </row>
    <row r="6" customFormat="false" ht="15" hidden="false" customHeight="true" outlineLevel="0" collapsed="false">
      <c r="A6" s="24" t="s">
        <v>335</v>
      </c>
      <c r="B6" s="39" t="s">
        <v>336</v>
      </c>
      <c r="C6" s="39" t="s">
        <v>337</v>
      </c>
      <c r="D6" s="40" t="s">
        <v>334</v>
      </c>
      <c r="E6" s="39" t="s">
        <v>338</v>
      </c>
    </row>
    <row r="7" customFormat="false" ht="15" hidden="false" customHeight="true" outlineLevel="0" collapsed="false">
      <c r="A7" s="29" t="s">
        <v>339</v>
      </c>
      <c r="B7" s="41" t="s">
        <v>340</v>
      </c>
      <c r="C7" s="41" t="s">
        <v>341</v>
      </c>
      <c r="D7" s="42" t="s">
        <v>342</v>
      </c>
      <c r="E7" s="42" t="s">
        <v>343</v>
      </c>
    </row>
    <row r="8" customFormat="false" ht="15" hidden="false" customHeight="true" outlineLevel="0" collapsed="false">
      <c r="A8" s="43" t="s">
        <v>344</v>
      </c>
      <c r="B8" s="7" t="s">
        <v>345</v>
      </c>
      <c r="C8" s="7" t="s">
        <v>346</v>
      </c>
      <c r="D8" s="7" t="s">
        <v>347</v>
      </c>
      <c r="E8" s="7" t="s">
        <v>348</v>
      </c>
    </row>
    <row r="9" customFormat="false" ht="15" hidden="false" customHeight="true" outlineLevel="0" collapsed="false">
      <c r="A9" s="24" t="s">
        <v>349</v>
      </c>
      <c r="B9" s="39" t="s">
        <v>264</v>
      </c>
      <c r="C9" s="39" t="s">
        <v>350</v>
      </c>
      <c r="D9" s="40" t="s">
        <v>351</v>
      </c>
      <c r="E9" s="39" t="s">
        <v>352</v>
      </c>
    </row>
    <row r="10" customFormat="false" ht="15" hidden="false" customHeight="true" outlineLevel="0" collapsed="false">
      <c r="A10" s="43" t="s">
        <v>353</v>
      </c>
      <c r="B10" s="7" t="s">
        <v>354</v>
      </c>
      <c r="C10" s="7" t="s">
        <v>355</v>
      </c>
      <c r="D10" s="7" t="s">
        <v>334</v>
      </c>
      <c r="E10" s="7" t="s">
        <v>356</v>
      </c>
    </row>
    <row r="11" customFormat="false" ht="15" hidden="false" customHeight="true" outlineLevel="0" collapsed="false">
      <c r="A11" s="29" t="s">
        <v>357</v>
      </c>
      <c r="B11" s="41" t="s">
        <v>358</v>
      </c>
      <c r="C11" s="41" t="s">
        <v>359</v>
      </c>
      <c r="D11" s="42" t="s">
        <v>360</v>
      </c>
      <c r="E11" s="41" t="s">
        <v>361</v>
      </c>
    </row>
    <row r="12" customFormat="false" ht="15" hidden="false" customHeight="true" outlineLevel="0" collapsed="false">
      <c r="A12" s="24" t="s">
        <v>362</v>
      </c>
      <c r="B12" s="39" t="s">
        <v>363</v>
      </c>
      <c r="C12" s="39" t="s">
        <v>364</v>
      </c>
      <c r="D12" s="40" t="s">
        <v>365</v>
      </c>
      <c r="E12" s="40"/>
    </row>
    <row r="13" customFormat="false" ht="15" hidden="false" customHeight="true" outlineLevel="0" collapsed="false">
      <c r="A13" s="29" t="s">
        <v>366</v>
      </c>
      <c r="B13" s="41" t="s">
        <v>367</v>
      </c>
      <c r="C13" s="41" t="s">
        <v>368</v>
      </c>
      <c r="D13" s="42" t="s">
        <v>369</v>
      </c>
      <c r="E13" s="41" t="s">
        <v>370</v>
      </c>
    </row>
    <row r="14" customFormat="false" ht="15" hidden="false" customHeight="true" outlineLevel="0" collapsed="false">
      <c r="A14" s="24" t="s">
        <v>371</v>
      </c>
      <c r="B14" s="39" t="s">
        <v>372</v>
      </c>
      <c r="C14" s="39" t="s">
        <v>373</v>
      </c>
      <c r="D14" s="40" t="s">
        <v>374</v>
      </c>
      <c r="E14" s="40"/>
    </row>
    <row r="15" customFormat="false" ht="15" hidden="false" customHeight="true" outlineLevel="0" collapsed="false">
      <c r="A15" s="29" t="s">
        <v>375</v>
      </c>
      <c r="B15" s="42" t="s">
        <v>376</v>
      </c>
      <c r="C15" s="41" t="s">
        <v>377</v>
      </c>
      <c r="D15" s="42" t="s">
        <v>378</v>
      </c>
      <c r="E15" s="42" t="s">
        <v>379</v>
      </c>
    </row>
    <row r="16" customFormat="false" ht="15" hidden="false" customHeight="false" outlineLevel="0" collapsed="false">
      <c r="A16" s="24" t="s">
        <v>380</v>
      </c>
      <c r="B16" s="39" t="s">
        <v>381</v>
      </c>
      <c r="C16" s="39" t="s">
        <v>382</v>
      </c>
      <c r="D16" s="40" t="s">
        <v>383</v>
      </c>
      <c r="E16" s="39" t="s">
        <v>384</v>
      </c>
    </row>
    <row r="17" customFormat="false" ht="15" hidden="false" customHeight="false" outlineLevel="0" collapsed="false">
      <c r="A17" s="29" t="s">
        <v>385</v>
      </c>
      <c r="B17" s="41" t="s">
        <v>386</v>
      </c>
      <c r="C17" s="41" t="s">
        <v>387</v>
      </c>
      <c r="D17" s="42" t="s">
        <v>388</v>
      </c>
      <c r="E17" s="41" t="s">
        <v>389</v>
      </c>
    </row>
    <row r="18" customFormat="false" ht="16.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>
      <c r="A20" s="5" t="s">
        <v>390</v>
      </c>
    </row>
    <row r="21" customFormat="false" ht="15" hidden="false" customHeight="true" outlineLevel="0" collapsed="false">
      <c r="A21" s="7" t="s">
        <v>391</v>
      </c>
    </row>
    <row r="22" customFormat="false" ht="15" hidden="false" customHeight="true" outlineLevel="0" collapsed="false">
      <c r="A22" s="7" t="s">
        <v>392</v>
      </c>
    </row>
    <row r="23" customFormat="false" ht="15" hidden="false" customHeight="true" outlineLevel="0" collapsed="false">
      <c r="A23" s="7" t="s">
        <v>393</v>
      </c>
    </row>
    <row r="24" customFormat="false" ht="15" hidden="false" customHeight="true" outlineLevel="0" collapsed="false">
      <c r="A24" s="7" t="s">
        <v>394</v>
      </c>
    </row>
    <row r="25" customFormat="false" ht="15" hidden="false" customHeight="false" outlineLevel="0" collapsed="false">
      <c r="A25" s="7" t="s">
        <v>395</v>
      </c>
    </row>
    <row r="26" customFormat="false" ht="15" hidden="false" customHeight="false" outlineLevel="0" collapsed="false">
      <c r="A26" s="7" t="s">
        <v>396</v>
      </c>
    </row>
    <row r="27" customFormat="false" ht="15" hidden="false" customHeight="false" outlineLevel="0" collapsed="false">
      <c r="A27" s="7" t="s">
        <v>397</v>
      </c>
    </row>
    <row r="28" customFormat="false" ht="15" hidden="false" customHeight="false" outlineLevel="0" collapsed="false">
      <c r="A28" s="7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2026-06-24T01:09:48Z</dcterms:created>
  <dc:creator>openpyxl</dc:creator>
  <dc:description/>
  <dc:language>en-US</dc:language>
  <cp:lastModifiedBy/>
  <dcterms:modified xsi:type="dcterms:W3CDTF">2026-06-24T06:56:34Z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